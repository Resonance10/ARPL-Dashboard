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7" documentId="8_{7284B2E4-6521-4BD8-9FD8-89D17FC81BA6}" xr6:coauthVersionLast="47" xr6:coauthVersionMax="47" xr10:uidLastSave="{01BD5CF6-A0D2-4C77-9DA6-C7CFF633EC49}"/>
  <bookViews>
    <workbookView xWindow="240" yWindow="105" windowWidth="14805" windowHeight="8010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</calcChain>
</file>

<file path=xl/sharedStrings.xml><?xml version="1.0" encoding="utf-8"?>
<sst xmlns="http://schemas.openxmlformats.org/spreadsheetml/2006/main" count="463" uniqueCount="221">
  <si>
    <t>BILL OF MATERIAL</t>
  </si>
  <si>
    <t xml:space="preserve">PROJECT CODE: </t>
  </si>
  <si>
    <t>ML2A05C_51V</t>
  </si>
  <si>
    <t>DATE</t>
  </si>
  <si>
    <t>11.09.2025</t>
  </si>
  <si>
    <t xml:space="preserve">PROJECT GROUP: </t>
  </si>
  <si>
    <t>TRIKON</t>
  </si>
  <si>
    <t xml:space="preserve">REVISION </t>
  </si>
  <si>
    <t>C</t>
  </si>
  <si>
    <t>PREPARED BY</t>
  </si>
  <si>
    <t>DPK</t>
  </si>
  <si>
    <t>CHECKED BY</t>
  </si>
  <si>
    <t>KMN</t>
  </si>
  <si>
    <t>APPROVED BY</t>
  </si>
  <si>
    <t>SL.No.</t>
  </si>
  <si>
    <t xml:space="preserve">DRG. DESCRIPTION </t>
  </si>
  <si>
    <t>DRG. No</t>
  </si>
  <si>
    <t>REV</t>
  </si>
  <si>
    <t>QTY</t>
  </si>
  <si>
    <t>UOM</t>
  </si>
  <si>
    <t>MAKE/BUY</t>
  </si>
  <si>
    <t>REMARK</t>
  </si>
  <si>
    <t>TECHNICAL DRAWING</t>
  </si>
  <si>
    <t>FRONT ENDBELL-ML-120</t>
  </si>
  <si>
    <t>AR010857</t>
  </si>
  <si>
    <t>A</t>
  </si>
  <si>
    <t>No's</t>
  </si>
  <si>
    <t>MAKE</t>
  </si>
  <si>
    <t>2.65kg to 2.59kg</t>
  </si>
  <si>
    <t>.....FRONT ENDBELL-ML-120-C</t>
  </si>
  <si>
    <t>AR010858</t>
  </si>
  <si>
    <t>3.17kg to 3.11kg</t>
  </si>
  <si>
    <t>REAR ENDBELL-ML-120</t>
  </si>
  <si>
    <t>AR010860</t>
  </si>
  <si>
    <t>0.85 kg to 0.79kg</t>
  </si>
  <si>
    <t>.....REAR ENDBELL-ML-120-C</t>
  </si>
  <si>
    <t>AR010859</t>
  </si>
  <si>
    <t>0.97 kg to 0.89kg</t>
  </si>
  <si>
    <t>TERMINAL COVER-ML-120</t>
  </si>
  <si>
    <t>AR010862</t>
  </si>
  <si>
    <t>0.05kg to 0.065kg, 
Material - PA6+30%GF  (IS 16396)</t>
  </si>
  <si>
    <t>WOUND STATOR ASSEMBLY</t>
  </si>
  <si>
    <t>STATOR CORE_ML-100</t>
  </si>
  <si>
    <t>AR010773</t>
  </si>
  <si>
    <t>B</t>
  </si>
  <si>
    <t>STATOR WINDING</t>
  </si>
  <si>
    <t>AR060036</t>
  </si>
  <si>
    <t>COPPER WIRE_SWG 22</t>
  </si>
  <si>
    <t>AR020001</t>
  </si>
  <si>
    <t>Kg</t>
  </si>
  <si>
    <t>BUY</t>
  </si>
  <si>
    <t>SLOT INSULATION</t>
  </si>
  <si>
    <t>AR020293</t>
  </si>
  <si>
    <t>SLOT FRONT INSULATION</t>
  </si>
  <si>
    <t>AR020294</t>
  </si>
  <si>
    <t>LACING CORD</t>
  </si>
  <si>
    <t>AR020004</t>
  </si>
  <si>
    <t>m</t>
  </si>
  <si>
    <t>CUSTOM COPPER LUG 35 X 6</t>
  </si>
  <si>
    <t>Material : Copper</t>
  </si>
  <si>
    <t>VARNISH</t>
  </si>
  <si>
    <t>AR020326</t>
  </si>
  <si>
    <t>INSULATION SLEEVE ⌀8 X 65</t>
  </si>
  <si>
    <t>AR020338</t>
  </si>
  <si>
    <t>HARNESS ASSEMBLY_TEMP SENSOR</t>
  </si>
  <si>
    <t xml:space="preserve">TEMP SENSOR </t>
  </si>
  <si>
    <t>AR020246</t>
  </si>
  <si>
    <t>2 PIN MALE CONNECTOR(CT01&amp;CT02)</t>
  </si>
  <si>
    <t>AR020327</t>
  </si>
  <si>
    <t>Part No : 430200210</t>
  </si>
  <si>
    <t>MICRO FIT MALE TERMINAL(CTO1,CT02 &amp; CT04 CRIMP)</t>
  </si>
  <si>
    <t>AR020328</t>
  </si>
  <si>
    <t>Crimp Part No : 430310002</t>
  </si>
  <si>
    <t>INSULATION SLEEVE ⌀5 X 180</t>
  </si>
  <si>
    <t>AR020251</t>
  </si>
  <si>
    <t>ROTOR ASSEMBLY</t>
  </si>
  <si>
    <t>ROTOR STACK_20.3</t>
  </si>
  <si>
    <t>AR010707</t>
  </si>
  <si>
    <t>MAGNET 6.04 X 8.04 X 20.04mm</t>
  </si>
  <si>
    <t>AR010778</t>
  </si>
  <si>
    <t>ROTOR END PLATE-ML-100</t>
  </si>
  <si>
    <t>AR010714</t>
  </si>
  <si>
    <t>.....ROTOR END PLATE-ML100-C</t>
  </si>
  <si>
    <t>AR010690</t>
  </si>
  <si>
    <t>ROTOR SHAFT_ML-120</t>
  </si>
  <si>
    <t>AR010861</t>
  </si>
  <si>
    <t>LOCK WASHER MB6</t>
  </si>
  <si>
    <t>AR020006</t>
  </si>
  <si>
    <t>LOCK NUT M30 X 45 X 5.5</t>
  </si>
  <si>
    <t>AR020295</t>
  </si>
  <si>
    <t>BEARING SKF 6006-2Z/C3 GWF</t>
  </si>
  <si>
    <t>AR020009</t>
  </si>
  <si>
    <t>BEARING SKF 6005-2Z/C3 GWF</t>
  </si>
  <si>
    <t>AR020305</t>
  </si>
  <si>
    <t>BEARING RETAINER PLATE</t>
  </si>
  <si>
    <t>AR010925</t>
  </si>
  <si>
    <t>Added</t>
  </si>
  <si>
    <t xml:space="preserve">BEARING O RING </t>
  </si>
  <si>
    <t>AR010928</t>
  </si>
  <si>
    <t>Material : EPDM Shore Hardness -70-80 
Operating Temperature - -30 to 130</t>
  </si>
  <si>
    <t>WAVE WASHER_6006</t>
  </si>
  <si>
    <t>AR020247</t>
  </si>
  <si>
    <t>ENDBELL O RING</t>
  </si>
  <si>
    <t>AR020256</t>
  </si>
  <si>
    <t>Material : EPDM, Shore Hardness -70-80
Operating temperature - -30 to 130</t>
  </si>
  <si>
    <t xml:space="preserve">TERMINAL O RING </t>
  </si>
  <si>
    <t>AR010902</t>
  </si>
  <si>
    <t>Material : NBR, Shore Hardness - 70-80
Operating temperature - -30 to 100</t>
  </si>
  <si>
    <t xml:space="preserve">LUG HOLDER </t>
  </si>
  <si>
    <t>AR010895</t>
  </si>
  <si>
    <t>Material : PBT, GF30(IS20028-1)</t>
  </si>
  <si>
    <t>...CUSTOM COPPER BUS BAR</t>
  </si>
  <si>
    <t>M6 X 1 SCRUB SCREW</t>
  </si>
  <si>
    <t>AR020323</t>
  </si>
  <si>
    <t>LUG HOLDER O RING</t>
  </si>
  <si>
    <t>AR010900</t>
  </si>
  <si>
    <t xml:space="preserve">ENCODER ACTUATOR </t>
  </si>
  <si>
    <t>AR020249</t>
  </si>
  <si>
    <t>RADIAL SEAL 30 X 47 X 7</t>
  </si>
  <si>
    <t>AR020240</t>
  </si>
  <si>
    <t>BREATHER PLUG</t>
  </si>
  <si>
    <t>AR020021</t>
  </si>
  <si>
    <t>FLANGE HEAD BOLT M5 X 0.8 X 20</t>
  </si>
  <si>
    <t>AR020171</t>
  </si>
  <si>
    <t xml:space="preserve">Qty changed </t>
  </si>
  <si>
    <t>FLANGE HEAD BOLT M5 X 0.8 X 14</t>
  </si>
  <si>
    <t>AR020244</t>
  </si>
  <si>
    <t xml:space="preserve">ALLEN HEAD BOLTS M4 X 0.7 X 12 </t>
  </si>
  <si>
    <t>AR030008</t>
  </si>
  <si>
    <t>M5 SPRING WASHER</t>
  </si>
  <si>
    <t>AR020040</t>
  </si>
  <si>
    <t>M4 PLAIN WASHER</t>
  </si>
  <si>
    <t>AR020236</t>
  </si>
  <si>
    <t>HEX NUT M6X1</t>
  </si>
  <si>
    <t>AR030004</t>
  </si>
  <si>
    <t xml:space="preserve">M6 SPRING WASHER </t>
  </si>
  <si>
    <t>AR020115</t>
  </si>
  <si>
    <t xml:space="preserve">M6 PLAIN WASHER </t>
  </si>
  <si>
    <t>AR020012</t>
  </si>
  <si>
    <t xml:space="preserve">HARNESS ASSEMBLY_SENSOR CABLE </t>
  </si>
  <si>
    <t>D</t>
  </si>
  <si>
    <t xml:space="preserve">SENSOR CABLE </t>
  </si>
  <si>
    <t>8 Core cable</t>
  </si>
  <si>
    <t>2 PIN FEMALE CONNECTOR (CT03)</t>
  </si>
  <si>
    <t>AR020329</t>
  </si>
  <si>
    <t>Part No : 430250210</t>
  </si>
  <si>
    <t>MICRO FIT FEMALE TERMINAL CRIMP (CT03&amp; CT05)</t>
  </si>
  <si>
    <t>AR020330</t>
  </si>
  <si>
    <t>Crimp Part No : 430300002</t>
  </si>
  <si>
    <t>6 PIN FEMALE CONNECTOR (CT05)</t>
  </si>
  <si>
    <t>AR020331</t>
  </si>
  <si>
    <t>Part No : 430250610</t>
  </si>
  <si>
    <t>10 PIN MALE CONNECTOR (CT06 -OUTSIDE MOTOR)</t>
  </si>
  <si>
    <t>AR020332</t>
  </si>
  <si>
    <t xml:space="preserve">Part No : 1801606-1 </t>
  </si>
  <si>
    <t>MINI MIC SRS TAB CONTACT(CT06 CRIMP)</t>
  </si>
  <si>
    <t>AR020334</t>
  </si>
  <si>
    <t>Crimp Part No : 1718760-1</t>
  </si>
  <si>
    <t>GLUE TYPE HEAT SHRINKABLE SLEEVE</t>
  </si>
  <si>
    <t>AR020287</t>
  </si>
  <si>
    <t xml:space="preserve">SINGLE WIRE SEAL </t>
  </si>
  <si>
    <t>AR020347</t>
  </si>
  <si>
    <t>Part No : 963142-3</t>
  </si>
  <si>
    <t xml:space="preserve">CAVITY BLANK PLUG </t>
  </si>
  <si>
    <t>AR020336</t>
  </si>
  <si>
    <t>Part No : 963143-1</t>
  </si>
  <si>
    <t>CABLE GLAND M16 X 1.5</t>
  </si>
  <si>
    <t>AR020011</t>
  </si>
  <si>
    <t>SENSOR CABLE CLAMP</t>
  </si>
  <si>
    <t>AR010694</t>
  </si>
  <si>
    <t xml:space="preserve">Added, Material : Sheet metal 1mm thick </t>
  </si>
  <si>
    <t>CORRUGATED TUPE</t>
  </si>
  <si>
    <t>HARNESS ASSEMBLY_PCB</t>
  </si>
  <si>
    <t>ENCODER PCB</t>
  </si>
  <si>
    <t>6 PIN  MALE CONNECTOR ( CT04 )</t>
  </si>
  <si>
    <t>AR020333</t>
  </si>
  <si>
    <t>Part No : 430200611</t>
  </si>
  <si>
    <t>SENSOR WIRE PCB TO CONNECTOR</t>
  </si>
  <si>
    <t>AR020183</t>
  </si>
  <si>
    <t>BUTTON HEAD CAP SCREW M4 X 0.7 -SEMS</t>
  </si>
  <si>
    <t>AR020340</t>
  </si>
  <si>
    <t>Changed Instead of M3 Torx screw</t>
  </si>
  <si>
    <t xml:space="preserve">M3 DOWEL PIN </t>
  </si>
  <si>
    <t>AR020337</t>
  </si>
  <si>
    <t xml:space="preserve">Added </t>
  </si>
  <si>
    <t xml:space="preserve">25 SQMM PHASE CABLE GROMMET </t>
  </si>
  <si>
    <t>AR010896</t>
  </si>
  <si>
    <t>Material : NBR</t>
  </si>
  <si>
    <t xml:space="preserve">TOP COVER </t>
  </si>
  <si>
    <t>AR010897</t>
  </si>
  <si>
    <t>Material : PA6</t>
  </si>
  <si>
    <t>PHASE CABLE HOLDER TOP</t>
  </si>
  <si>
    <t>AR010898</t>
  </si>
  <si>
    <t>Material : sheet metal 2mm thick, width - 15mm, length - 120mm</t>
  </si>
  <si>
    <t xml:space="preserve">PHASE CABLE HOLDER BOTTOM </t>
  </si>
  <si>
    <t>AR010912</t>
  </si>
  <si>
    <t>Material : sheet metal 2mm thick, width - 15mm, length - 104mm</t>
  </si>
  <si>
    <t>SENSOR CONNECTOR CLAMP</t>
  </si>
  <si>
    <t>AR010929</t>
  </si>
  <si>
    <t xml:space="preserve">Added, Material : Sheet metal 2mm thick </t>
  </si>
  <si>
    <t xml:space="preserve">CONNECTOR PUSH MOUNT </t>
  </si>
  <si>
    <t>S No</t>
  </si>
  <si>
    <t>Part Description</t>
  </si>
  <si>
    <t>Drg No</t>
  </si>
  <si>
    <t>Cad File Link</t>
  </si>
  <si>
    <t>Material Properties</t>
  </si>
  <si>
    <t>Qty Required</t>
  </si>
  <si>
    <t>Requirment</t>
  </si>
  <si>
    <t>AR010862_TERMINAL COVER_ML-120-P1.stp</t>
  </si>
  <si>
    <t>3 nos</t>
  </si>
  <si>
    <t>Rapid Prototyping</t>
  </si>
  <si>
    <t>AR010897_TOP COVER.stp</t>
  </si>
  <si>
    <t>AR010895_LUG HOLDER.stp</t>
  </si>
  <si>
    <t>"Material : EPDM, Shore Hardness -70-80
Operating temperature - -30 to 130"</t>
  </si>
  <si>
    <t>AR010896_25 SQMM PHASE CABLE GROMMET.stp</t>
  </si>
  <si>
    <t>LUG O-RING</t>
  </si>
  <si>
    <t>ML2A05C_CUSTOM LUG O RING_1.78mm.stp</t>
  </si>
  <si>
    <t>9 nos</t>
  </si>
  <si>
    <t>ML2A05C_BEARING O RING_2mm.stp</t>
  </si>
  <si>
    <t>ML2A05C_TERMINAL O RING_2.62mm.stp</t>
  </si>
  <si>
    <t>ML2A05C_LUG HOLDER O RING_1.78mm.stp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</si>
</sst>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</font>
    <font>
      <b/>
      <sz val="12"/>
      <color theme="1"/>
      <name val="Cambria"/>
    </font>
    <font>
      <sz val="12"/>
      <color rgb="FF000000"/>
      <name val="Cambria"/>
    </font>
    <font>
      <sz val="12"/>
      <color theme="1"/>
      <name val="Cambria"/>
    </font>
    <font>
      <b/>
      <sz val="12"/>
      <color rgb="FF000000"/>
      <name val="Cambria"/>
    </font>
    <font>
      <i/>
      <sz val="12"/>
      <color theme="1"/>
      <name val="Cambria"/>
    </font>
    <font>
      <sz val="14"/>
      <color rgb="FFEEF0FF"/>
      <name val="Google Sans"/>
      <charset val="1"/>
    </font>
    <font>
      <sz val="16"/>
      <color theme="1"/>
      <name val="Calibri"/>
    </font>
    <font>
      <u/>
      <sz val="16"/>
      <color theme="10"/>
      <name val="Calibri"/>
    </font>
    <font>
      <sz val="16"/>
      <color rgb="FF000000"/>
      <name val="Calibri"/>
    </font>
    <font>
      <b/>
      <sz val="11"/>
      <color theme="1"/>
      <name val="Aptos Narrow"/>
      <family val="2"/>
      <scheme val="minor"/>
    </font>
    <font>
      <b/>
      <sz val="16"/>
      <color theme="1"/>
      <name val="Calibri"/>
    </font>
    <font>
      <b/>
      <sz val="14"/>
      <color theme="1"/>
      <name val="Cambria"/>
    </font>
    <font>
      <b/>
      <sz val="14"/>
      <color theme="1"/>
      <name val="Calibri"/>
    </font>
    <font>
      <sz val="12"/>
      <color rgb="FF000000"/>
      <name val="Calibri"/>
    </font>
    <font>
      <u/>
      <sz val="12"/>
      <color theme="10"/>
      <name val="Calibri"/>
    </font>
    <font>
      <sz val="12"/>
      <color theme="1"/>
      <name val="Calibri"/>
    </font>
    <font>
      <sz val="12"/>
      <color rgb="FF0070C0"/>
      <name val="Calibri"/>
    </font>
    <font>
      <b/>
      <i/>
      <sz val="12"/>
      <color rgb="FF000000"/>
      <name val="Calibri"/>
    </font>
    <font>
      <sz val="12"/>
      <color rgb="FFFF0000"/>
      <name val="Calibri"/>
    </font>
    <font>
      <b/>
      <i/>
      <sz val="12"/>
      <color theme="1"/>
      <name val="Calibri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164" fontId="5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0" xfId="0" applyFont="1"/>
    <xf numFmtId="0" fontId="0" fillId="5" borderId="0" xfId="0" applyFill="1"/>
    <xf numFmtId="0" fontId="0" fillId="5" borderId="0" xfId="0" applyFill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0" fontId="15" fillId="2" borderId="14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7" fillId="3" borderId="1" xfId="1" applyFont="1" applyFill="1" applyBorder="1" applyAlignment="1">
      <alignment horizontal="center" vertical="center"/>
    </xf>
    <xf numFmtId="0" fontId="18" fillId="3" borderId="1" xfId="0" applyFont="1" applyFill="1" applyBorder="1"/>
    <xf numFmtId="0" fontId="18" fillId="3" borderId="1" xfId="0" applyFont="1" applyFill="1" applyBorder="1" applyAlignment="1">
      <alignment horizontal="center"/>
    </xf>
    <xf numFmtId="0" fontId="17" fillId="3" borderId="1" xfId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8" fillId="3" borderId="6" xfId="0" applyFont="1" applyFill="1" applyBorder="1"/>
    <xf numFmtId="0" fontId="19" fillId="3" borderId="1" xfId="0" applyFont="1" applyFill="1" applyBorder="1"/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6" fillId="3" borderId="1" xfId="0" applyFont="1" applyFill="1" applyBorder="1"/>
    <xf numFmtId="0" fontId="22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7" fillId="3" borderId="1" xfId="1" applyFont="1" applyFill="1" applyBorder="1" applyAlignment="1">
      <alignment horizontal="left" vertical="top"/>
    </xf>
    <xf numFmtId="0" fontId="16" fillId="4" borderId="6" xfId="0" applyFont="1" applyFill="1" applyBorder="1"/>
    <xf numFmtId="0" fontId="18" fillId="3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/>
    </xf>
    <xf numFmtId="0" fontId="17" fillId="3" borderId="13" xfId="1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/>
    </xf>
    <xf numFmtId="0" fontId="18" fillId="3" borderId="13" xfId="0" applyFont="1" applyFill="1" applyBorder="1"/>
    <xf numFmtId="0" fontId="16" fillId="3" borderId="2" xfId="0" applyFont="1" applyFill="1" applyBorder="1"/>
    <xf numFmtId="0" fontId="21" fillId="3" borderId="1" xfId="0" applyFont="1" applyFill="1" applyBorder="1"/>
    <xf numFmtId="0" fontId="23" fillId="3" borderId="1" xfId="1" applyFont="1" applyFill="1" applyBorder="1" applyAlignment="1">
      <alignment horizontal="center"/>
    </xf>
    <xf numFmtId="0" fontId="23" fillId="3" borderId="1" xfId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18" fillId="4" borderId="1" xfId="0" applyFont="1" applyFill="1" applyBorder="1"/>
    <xf numFmtId="0" fontId="18" fillId="0" borderId="0" xfId="0" applyFont="1" applyAlignment="1">
      <alignment horizontal="center"/>
    </xf>
    <xf numFmtId="0" fontId="18" fillId="3" borderId="8" xfId="0" applyFont="1" applyFill="1" applyBorder="1"/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wrapText="1"/>
    </xf>
    <xf numFmtId="0" fontId="18" fillId="3" borderId="9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bhinavarizel-my.sharepoint.com/:b:/p/kmn/EcE0yvGA8fNEumBS3pqnBosBBoftAvaoOa0lKwk26Sfw-Q?e=9d6fGx" TargetMode="External"/><Relationship Id="rId18" Type="http://schemas.openxmlformats.org/officeDocument/2006/relationships/hyperlink" Target="https://abhinavarizel-my.sharepoint.com/:b:/p/kmn/ETkec0gKbRBDl_8b_T9V9o4Ba9H5-WcfY8xoTEIXUEi2ow?e=stqDig" TargetMode="External"/><Relationship Id="rId26" Type="http://schemas.openxmlformats.org/officeDocument/2006/relationships/hyperlink" Target="https://abhinavarizel-my.sharepoint.com/:b:/p/kmn/EV6__uHuDfRLjI21iGJm-DMBnhFoOQp7h21MSLsrtcIeDw?e=LBs7jd" TargetMode="External"/><Relationship Id="rId39" Type="http://schemas.openxmlformats.org/officeDocument/2006/relationships/hyperlink" Target="https://abhinavarizel-my.sharepoint.com/:b:/p/kmn/EVW9uFyef8tPhqJcnIch31MBlHsD1-1SbUlKZhe6sM39mA?e=5bCQXq" TargetMode="External"/><Relationship Id="rId21" Type="http://schemas.openxmlformats.org/officeDocument/2006/relationships/hyperlink" Target="https://abhinavarizel-my.sharepoint.com/:b:/p/kmn/EbyNI18fQgdMjDTPf7llIzEBiEu_uhzwXDjiV_wzgbCDCw?e=dgLt0G" TargetMode="External"/><Relationship Id="rId34" Type="http://schemas.openxmlformats.org/officeDocument/2006/relationships/hyperlink" Target="https://abhinavarizel-my.sharepoint.com/:b:/p/kmn/EevhFcgal4hKsct_0HPd55cBgxxKPgP_d5fE1bs67rg5zA?e=6YhxSM" TargetMode="External"/><Relationship Id="rId42" Type="http://schemas.openxmlformats.org/officeDocument/2006/relationships/hyperlink" Target="https://abhinavarizel-my.sharepoint.com/:b:/p/kmn/ERU_D6txYWhGvW-6CETTThkBH6Tpx7ZKLBXQctPCfMoqmg?e=bOFNIk" TargetMode="External"/><Relationship Id="rId47" Type="http://schemas.openxmlformats.org/officeDocument/2006/relationships/hyperlink" Target="https://abhinavarizel-my.sharepoint.com/:b:/p/kmn/EdeX_qWDALBFl-9Ug_gVeQsBaljpFHssMtGoZMCI5BJDUA?e=MQDvxd" TargetMode="External"/><Relationship Id="rId50" Type="http://schemas.openxmlformats.org/officeDocument/2006/relationships/hyperlink" Target="https://abhinavarizel-my.sharepoint.com/:b:/p/kmn/EecWRvcH1PJCilFGSK600-0B4Yk7zylutyD4hZ760gcRXg?e=V9TFUW" TargetMode="External"/><Relationship Id="rId55" Type="http://schemas.openxmlformats.org/officeDocument/2006/relationships/hyperlink" Target="https://abhinavarizel-my.sharepoint.com/:b:/p/kmn/Ee6dyvO9QihHhObx-F3SVqwBOV2pHMu_2i7IGpzIseVEsw?e=9iL0ZI" TargetMode="External"/><Relationship Id="rId7" Type="http://schemas.openxmlformats.org/officeDocument/2006/relationships/hyperlink" Target="https://abhinavarizel-my.sharepoint.com/:b:/p/kmn/EaKz6Uu2Um5Dj10gVYnT24EBMPmhMAGfKEZB3zIeAajI_w?e=rjiKXA" TargetMode="External"/><Relationship Id="rId2" Type="http://schemas.openxmlformats.org/officeDocument/2006/relationships/hyperlink" Target="https://abhinavarizel-my.sharepoint.com/:b:/p/kmn/EV2e9kPyUoNGlRaFihjv01QB00pYcYZkJNmXjdEHEygKYg?e=5aJtNm" TargetMode="External"/><Relationship Id="rId16" Type="http://schemas.openxmlformats.org/officeDocument/2006/relationships/hyperlink" Target="https://abhinavarizel-my.sharepoint.com/:b:/p/kmn/EbT-AxNWQtFOpPOLaZs7H9sBYqJuWNT8AvbUWl3a3Ngf5Q?e=sn5SZZ" TargetMode="External"/><Relationship Id="rId29" Type="http://schemas.openxmlformats.org/officeDocument/2006/relationships/hyperlink" Target="https://abhinavarizel-my.sharepoint.com/:b:/p/kmn/Eb__DV1WAGRCnFMkFoMOessBK_IPyfwqx5iLBuQM27YggQ?e=5JBdL3" TargetMode="External"/><Relationship Id="rId11" Type="http://schemas.openxmlformats.org/officeDocument/2006/relationships/hyperlink" Target="https://abhinavarizel-my.sharepoint.com/:b:/p/kmn/EXFk4lF3pIVEsmMyEF62nAEBA5fRQhsf4l_SqNnKp8z7VA?e=yuiVAW" TargetMode="External"/><Relationship Id="rId24" Type="http://schemas.openxmlformats.org/officeDocument/2006/relationships/hyperlink" Target="https://abhinavarizel-my.sharepoint.com/:b:/p/kmn/EXZ2WOpl-upMranBtI5UpXUBultPPPDGHC_54akWekgDGQ?e=sKZAyu" TargetMode="External"/><Relationship Id="rId32" Type="http://schemas.openxmlformats.org/officeDocument/2006/relationships/hyperlink" Target="https://abhinavarizel-my.sharepoint.com/:b:/p/kmn/EV9ho_BfOMtIjhXC9ba43hEB6ddR6WmGljj5JndIJ-C7vA?e=z3kzSg" TargetMode="External"/><Relationship Id="rId37" Type="http://schemas.openxmlformats.org/officeDocument/2006/relationships/hyperlink" Target="https://abhinavarizel-my.sharepoint.com/:b:/p/kmn/EbmoUDb2psdNugK7WeLBntwB49EKvMbEl4MkUwJu-JyRWQ?e=DzvJHY" TargetMode="External"/><Relationship Id="rId40" Type="http://schemas.openxmlformats.org/officeDocument/2006/relationships/hyperlink" Target="https://abhinavarizel-my.sharepoint.com/:b:/p/kmn/ERlWAn1LZvlGjbSpoq9h2sMBzNZYkLqvJese_nxTIhvb-Q?e=bctkjT" TargetMode="External"/><Relationship Id="rId45" Type="http://schemas.openxmlformats.org/officeDocument/2006/relationships/hyperlink" Target="https://abhinavarizel-my.sharepoint.com/:b:/p/kmn/EaiRNIIahV1JiXz5tHGWE1IBR6Bqqi3qFHp-0Vgnn-MoNA?e=xAVg3K" TargetMode="External"/><Relationship Id="rId53" Type="http://schemas.openxmlformats.org/officeDocument/2006/relationships/hyperlink" Target="https://abhinavarizel-my.sharepoint.com/:b:/p/kmn/EZi79FckDHFKsqrYJsxyNiABOgIM0Ort5J1ai3DbkSHYiQ?e=vpHbhH" TargetMode="External"/><Relationship Id="rId58" Type="http://schemas.openxmlformats.org/officeDocument/2006/relationships/hyperlink" Target="https://abhinavarizel-my.sharepoint.com/:b:/p/kmn/EZFGVpeYuE5Mj80lFnhKfncBR1IYVuW0xegHu0oTh03ihw?e=VtkjQ6" TargetMode="External"/><Relationship Id="rId5" Type="http://schemas.openxmlformats.org/officeDocument/2006/relationships/hyperlink" Target="https://abhinavarizel-my.sharepoint.com/:b:/p/kmn/EYDSdLvJ-Q5KlyIOOQI34SIBJ96p_d2Xlbtzkm8Sa-Nskg?e=hv16uJ" TargetMode="External"/><Relationship Id="rId19" Type="http://schemas.openxmlformats.org/officeDocument/2006/relationships/hyperlink" Target="https://abhinavarizel-my.sharepoint.com/:b:/p/kmn/EeGHzXW-zH5LmZX4YZAm3t4B1ZZvG6YhrbXIvKZqGcivjw?e=ounrEi" TargetMode="External"/><Relationship Id="rId4" Type="http://schemas.openxmlformats.org/officeDocument/2006/relationships/hyperlink" Target="https://abhinavarizel-my.sharepoint.com/:b:/p/kmn/ES4WN_8xqYtFuY6VCrEmnPgBxMwIZl4xI6qfwvAIsakuKg?e=qRvYiS" TargetMode="External"/><Relationship Id="rId9" Type="http://schemas.openxmlformats.org/officeDocument/2006/relationships/hyperlink" Target="https://abhinavarizel-my.sharepoint.com/:b:/p/kmn/EQVo9vqoAXRGry0L6xxRfzIBG_ViD2BbXco_cbQSffkZhA?e=Dvoscl" TargetMode="External"/><Relationship Id="rId14" Type="http://schemas.openxmlformats.org/officeDocument/2006/relationships/hyperlink" Target="https://abhinavarizel-my.sharepoint.com/:b:/p/kmn/Eegjb3NWjj9LveQPfhsHOYYBRm4f0wPP8zVwpRIr3Q6eSg?e=CfYhy1" TargetMode="External"/><Relationship Id="rId22" Type="http://schemas.openxmlformats.org/officeDocument/2006/relationships/hyperlink" Target="https://abhinavarizel-my.sharepoint.com/:b:/p/kmn/EaIh_sy2VPNEuPSpI09GmSsBK7jyBn8GWsjXFZxdszEiow?e=rddmJb" TargetMode="External"/><Relationship Id="rId27" Type="http://schemas.openxmlformats.org/officeDocument/2006/relationships/hyperlink" Target="https://abhinavarizel-my.sharepoint.com/:b:/p/kmn/EbepiU3QnIVNr89dohg7aWoBB6hsPl9D5fDCbSWPUjy6CA?e=9nS241" TargetMode="External"/><Relationship Id="rId30" Type="http://schemas.openxmlformats.org/officeDocument/2006/relationships/hyperlink" Target="https://abhinavarizel-my.sharepoint.com/:b:/p/kmn/EaHfXNCnWxJAs1WEyHry904BAp4d4v9HeqzceVhvwtbk9Q?e=ltntMM" TargetMode="External"/><Relationship Id="rId35" Type="http://schemas.openxmlformats.org/officeDocument/2006/relationships/hyperlink" Target="https://abhinavarizel-my.sharepoint.com/:b:/p/kmn/EXhKlvN9jpRAqq4m26qthbIBO_gsPApjwIfbyDbDkMqRjA?e=HD3wqr" TargetMode="External"/><Relationship Id="rId43" Type="http://schemas.openxmlformats.org/officeDocument/2006/relationships/hyperlink" Target="https://abhinavarizel-my.sharepoint.com/:b:/p/kmn/ESbQAkZc8VpJqbKRr90Q4_cB4e6rP1RaBVZ9Pa824g3x4A?e=NglN2v" TargetMode="External"/><Relationship Id="rId48" Type="http://schemas.openxmlformats.org/officeDocument/2006/relationships/hyperlink" Target="https://abhinavarizel-my.sharepoint.com/:b:/p/kmn/EfegXWOXHfhHlM3gb6Tlsd0BtEDz8L4tbZXWdq8qa6Pw4A?e=tTi2wo" TargetMode="External"/><Relationship Id="rId56" Type="http://schemas.openxmlformats.org/officeDocument/2006/relationships/hyperlink" Target="https://abhinavarizel-my.sharepoint.com/:b:/p/kmn/EUYf9EtFD7NIvh-lCkTzCp0BNcVgA_s2a7X3RYdc1LGXjQ?e=7pnJeL" TargetMode="External"/><Relationship Id="rId8" Type="http://schemas.openxmlformats.org/officeDocument/2006/relationships/hyperlink" Target="https://abhinavarizel-my.sharepoint.com/:b:/p/kmn/EYYfEufbceBHgribK5ujQVQBIGla0MiP_PBxYB8c3Z44dA?e=6tpzpK" TargetMode="External"/><Relationship Id="rId51" Type="http://schemas.openxmlformats.org/officeDocument/2006/relationships/hyperlink" Target="https://abhinavarizel-my.sharepoint.com/:b:/p/kmn/EVPLh6VRZUBChND6ew2S0i4BwC5oaf_3eAegDLzAcISHyg?e=XQrR2R" TargetMode="External"/><Relationship Id="rId3" Type="http://schemas.openxmlformats.org/officeDocument/2006/relationships/hyperlink" Target="https://abhinavarizel-my.sharepoint.com/:b:/p/kmn/Ef7utxQ3dUxKu6hSms-qN1IBWDqQ2liDAIw15lChNXWkgQ?e=cZrhcv" TargetMode="External"/><Relationship Id="rId12" Type="http://schemas.openxmlformats.org/officeDocument/2006/relationships/hyperlink" Target="https://abhinavarizel-my.sharepoint.com/:b:/p/kmn/EZSnkJHu-ZFAhO-2GcI7GHABhV8Kj905_jYHoPk2dlYWGA?e=xfbtbo" TargetMode="External"/><Relationship Id="rId17" Type="http://schemas.openxmlformats.org/officeDocument/2006/relationships/hyperlink" Target="https://abhinavarizel-my.sharepoint.com/:b:/p/kmn/EQUlKhjs8e1AqxWkALLas00BGFmwp0sRjgWeDD4sWHuB6Q?e=YrHZn9" TargetMode="External"/><Relationship Id="rId25" Type="http://schemas.openxmlformats.org/officeDocument/2006/relationships/hyperlink" Target="https://abhinavarizel-my.sharepoint.com/:b:/p/kmn/EWC6PjubPVpLttY5r6vgA_AB66llHLqzFSLYb-hpGFEQ-g?e=lULL8S" TargetMode="External"/><Relationship Id="rId33" Type="http://schemas.openxmlformats.org/officeDocument/2006/relationships/hyperlink" Target="https://abhinavarizel-my.sharepoint.com/:b:/p/kmn/EZBkc99WvC5LpoeGRpPhMRQBBNDXRpCAIyn6eXd68ZzvaA?e=LElocR" TargetMode="External"/><Relationship Id="rId38" Type="http://schemas.openxmlformats.org/officeDocument/2006/relationships/hyperlink" Target="https://abhinavarizel-my.sharepoint.com/:b:/p/kmn/EcaQE_bLcadArSLtoBo3XD4Bft2Q1JhH5I0-D-XyTEzfSQ?e=DWSsxW" TargetMode="External"/><Relationship Id="rId46" Type="http://schemas.openxmlformats.org/officeDocument/2006/relationships/hyperlink" Target="https://abhinavarizel-my.sharepoint.com/:b:/p/kmn/Ebft2DkURjNHnMt3lTASMmMBVyCV0n_le6yCw0O6z6oOjw?e=I5AmoM" TargetMode="External"/><Relationship Id="rId59" Type="http://schemas.openxmlformats.org/officeDocument/2006/relationships/hyperlink" Target="https://abhinavarizel-my.sharepoint.com/:b:/p/kmn/ET4VbunCYTBNjQx_L5n21zEBJE9emN4WAPito7tvdBsbLg?e=ndlnxg" TargetMode="External"/><Relationship Id="rId20" Type="http://schemas.openxmlformats.org/officeDocument/2006/relationships/hyperlink" Target="https://abhinavarizel-my.sharepoint.com/:b:/p/kmn/ERITvzFPojVBg7WWVpXw7gQBZdYnuci_gVcxOdNdKp4a5A?e=r5Q5I1" TargetMode="External"/><Relationship Id="rId41" Type="http://schemas.openxmlformats.org/officeDocument/2006/relationships/hyperlink" Target="https://abhinavarizel-my.sharepoint.com/:b:/p/kmn/EUgA45AGU2ZIqBgIZvcQuFsB_DI2r9EA2nRIM7bmL1g94Q?e=fZTr0Y" TargetMode="External"/><Relationship Id="rId54" Type="http://schemas.openxmlformats.org/officeDocument/2006/relationships/hyperlink" Target="https://abhinavarizel-my.sharepoint.com/:b:/p/kmn/EcUIQL5UJ5pLtLoe65pJ9j4BBs6kMizKNohHJ6sjOsY08g?e=UBbUwT" TargetMode="External"/><Relationship Id="rId1" Type="http://schemas.openxmlformats.org/officeDocument/2006/relationships/hyperlink" Target="https://abhinavarizel-my.sharepoint.com/:b:/p/kmn/ESrp-rXxA-tFjCLaZQyXOZABEmB32LJUlNfWShPK0xkY_w?e=ALhm3r" TargetMode="External"/><Relationship Id="rId6" Type="http://schemas.openxmlformats.org/officeDocument/2006/relationships/hyperlink" Target="https://abhinavarizel-my.sharepoint.com/:b:/p/kmn/Ea99qVflbOpCvU4mBqa5FKkBe6OvVXdP--rkR1MZ9yCHTw?e=6j7fDT" TargetMode="External"/><Relationship Id="rId15" Type="http://schemas.openxmlformats.org/officeDocument/2006/relationships/hyperlink" Target="https://abhinavarizel-my.sharepoint.com/:b:/p/kmn/ETQ7EEUKKNpPqrnsh_DuzjsBIa4m1Vi42OepCWE8uvQ34w?e=IHp8oY" TargetMode="External"/><Relationship Id="rId23" Type="http://schemas.openxmlformats.org/officeDocument/2006/relationships/hyperlink" Target="https://abhinavarizel-my.sharepoint.com/:b:/p/kmn/EcbpJEgR1VFGo9efgWIcdBkBjtse4pXPhdTFq06A8l8JvQ?e=Uzse79" TargetMode="External"/><Relationship Id="rId28" Type="http://schemas.openxmlformats.org/officeDocument/2006/relationships/hyperlink" Target="https://abhinavarizel-my.sharepoint.com/:b:/p/kmn/EXaehRyb429Cn4cCEE-OrlYBZuQrsx_XVH9bNIbghvJLdQ?e=TgK8cD" TargetMode="External"/><Relationship Id="rId36" Type="http://schemas.openxmlformats.org/officeDocument/2006/relationships/hyperlink" Target="https://abhinavarizel-my.sharepoint.com/:b:/p/kmn/EUR_Dm560R1Bv5KhvUlWL3ABU6vT587yQWVWGzKKn8MpOg?e=CoT0d6" TargetMode="External"/><Relationship Id="rId49" Type="http://schemas.openxmlformats.org/officeDocument/2006/relationships/hyperlink" Target="https://abhinavarizel-my.sharepoint.com/:b:/p/kmn/EdE27e6WBm5ApgET0vEfW04Bwmf9kwCDcMVJ1bZx3zdoUw?e=B8nnmx" TargetMode="External"/><Relationship Id="rId57" Type="http://schemas.openxmlformats.org/officeDocument/2006/relationships/hyperlink" Target="https://abhinavarizel-my.sharepoint.com/:b:/p/kmn/Ecuy919dt3JNpCZUPUh9pBkBtPEa1nIdWL7aJZZOK0mmng?e=SR9qRL" TargetMode="External"/><Relationship Id="rId10" Type="http://schemas.openxmlformats.org/officeDocument/2006/relationships/hyperlink" Target="https://abhinavarizel-my.sharepoint.com/:b:/p/kmn/EZ9CVjo-NG9Cp9_RoriNgmwBMqr_qcextlYq3WMv5528RA?e=tnrNOa" TargetMode="External"/><Relationship Id="rId31" Type="http://schemas.openxmlformats.org/officeDocument/2006/relationships/hyperlink" Target="https://abhinavarizel-my.sharepoint.com/:b:/p/kmn/EbZCXOtaLSVPth2-QgHD0KsBg_8LfPV-QsuckR7RJgDCYA?e=fC0zXm" TargetMode="External"/><Relationship Id="rId44" Type="http://schemas.openxmlformats.org/officeDocument/2006/relationships/hyperlink" Target="https://abhinavarizel-my.sharepoint.com/:b:/p/kmn/EcioOpRn_vdDmqu8dAyn9W4Btp-YWh7-fDJt1f5RzhVksw?e=BpiWT2" TargetMode="External"/><Relationship Id="rId52" Type="http://schemas.openxmlformats.org/officeDocument/2006/relationships/hyperlink" Target="https://abhinavarizel-my.sharepoint.com/:b:/p/kmn/EVndInFKDqdEtqs_qN8GG6UB2BDad3DVALHaPf7LjUfgdA?e=ID2hpv" TargetMode="External"/><Relationship Id="rId60" Type="http://schemas.openxmlformats.org/officeDocument/2006/relationships/hyperlink" Target="https://abhinavarizel-my.sharepoint.com/:b:/p/kmn/EZHry0loLEVIn3HrbZrFCNgBUTSWHpYlIvjSsrUVBYRD8w?e=Eex7rH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bhinavarizel-my.sharepoint.com/:u:/p/kmn/ESubVr3CX0REs2gV2wQuflQBLBTqMyubJs4mDQdYXJmzww?e=ypUn64" TargetMode="External"/><Relationship Id="rId3" Type="http://schemas.openxmlformats.org/officeDocument/2006/relationships/hyperlink" Target="https://abhinavarizel-my.sharepoint.com/:u:/p/kmn/EcyWjlCfeJRMnbHf4ZuR7NcB1luFGzVbGtW73URyUuj2Ig?e=DH8jKP" TargetMode="External"/><Relationship Id="rId7" Type="http://schemas.openxmlformats.org/officeDocument/2006/relationships/hyperlink" Target="https://abhinavarizel-my.sharepoint.com/:u:/p/kmn/EbvdXwQqL0lNtZjBtjumpOUBIyRu5QR89EQar8ltYaP8rA?e=vmEami" TargetMode="External"/><Relationship Id="rId2" Type="http://schemas.openxmlformats.org/officeDocument/2006/relationships/hyperlink" Target="https://abhinavarizel-my.sharepoint.com/:u:/p/kmn/EXPEwvpJxfBIknGU2VblMDkBZ6ItnZkPxYjEEnL8ibthEQ?e=HWCEoJ" TargetMode="External"/><Relationship Id="rId1" Type="http://schemas.openxmlformats.org/officeDocument/2006/relationships/hyperlink" Target="https://abhinavarizel-my.sharepoint.com/:u:/p/kmn/EQhuT4azRDVFq5iklzvUfz0BAOkrIHkB1fsqIwm95wDpOA?e=JJt3nh" TargetMode="External"/><Relationship Id="rId6" Type="http://schemas.openxmlformats.org/officeDocument/2006/relationships/hyperlink" Target="https://abhinavarizel-my.sharepoint.com/:u:/p/kmn/EebsFz9iy35ArkcpDw-JdLwBsPpndSeMm8q8LiDhkK4kIA?e=dg5xkH" TargetMode="External"/><Relationship Id="rId5" Type="http://schemas.openxmlformats.org/officeDocument/2006/relationships/hyperlink" Target="https://abhinavarizel-my.sharepoint.com/:u:/p/kmn/EYjzo0Cgz_ZIniaBOC7V4HgBm6l8GL4fhcr7GLuxI1xhCA?e=r7Q4NS" TargetMode="External"/><Relationship Id="rId4" Type="http://schemas.openxmlformats.org/officeDocument/2006/relationships/hyperlink" Target="https://abhinavarizel-my.sharepoint.com/:u:/p/kmn/Eap9YO1zkuhNjYxZyajARNIBGvG7zEzUaVApJG0MfWrxYw?e=bapA8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1"/>
  <sheetViews>
    <sheetView tabSelected="1" workbookViewId="0">
      <selection activeCell="A11" sqref="A11"/>
    </sheetView>
  </sheetViews>
  <sheetFormatPr defaultRowHeight="15"/>
  <cols>
    <col min="2" max="2" width="52.28515625" bestFit="1" customWidth="1"/>
    <col min="3" max="3" width="10.7109375" bestFit="1" customWidth="1"/>
    <col min="4" max="4" width="8.5703125" customWidth="1"/>
    <col min="5" max="5" width="9.28515625" bestFit="1" customWidth="1"/>
    <col min="7" max="7" width="12.5703125" customWidth="1"/>
    <col min="8" max="8" width="53.140625" bestFit="1" customWidth="1"/>
    <col min="9" max="9" width="21.85546875" customWidth="1"/>
    <col min="10" max="10" width="29.28515625" customWidth="1"/>
  </cols>
  <sheetData>
    <row r="1" spans="1:11" ht="27.75" customHeight="1">
      <c r="A1" s="71"/>
      <c r="B1" s="71"/>
      <c r="C1" s="72" t="s">
        <v>0</v>
      </c>
      <c r="D1" s="72"/>
      <c r="E1" s="72"/>
      <c r="F1" s="72"/>
      <c r="G1" s="72"/>
      <c r="H1" s="72"/>
    </row>
    <row r="2" spans="1:11" ht="15.75">
      <c r="A2" s="73" t="s">
        <v>1</v>
      </c>
      <c r="B2" s="73"/>
      <c r="C2" s="74" t="s">
        <v>2</v>
      </c>
      <c r="D2" s="75"/>
      <c r="E2" s="76"/>
      <c r="F2" s="77" t="s">
        <v>3</v>
      </c>
      <c r="G2" s="78"/>
      <c r="H2" s="2" t="s">
        <v>4</v>
      </c>
    </row>
    <row r="3" spans="1:11" ht="15.75">
      <c r="A3" s="65" t="s">
        <v>5</v>
      </c>
      <c r="B3" s="65"/>
      <c r="C3" s="66" t="s">
        <v>6</v>
      </c>
      <c r="D3" s="67"/>
      <c r="E3" s="68"/>
      <c r="F3" s="69" t="s">
        <v>7</v>
      </c>
      <c r="G3" s="70"/>
      <c r="H3" s="3" t="s">
        <v>8</v>
      </c>
    </row>
    <row r="4" spans="1:11" ht="15.75">
      <c r="A4" s="79" t="s">
        <v>9</v>
      </c>
      <c r="B4" s="80"/>
      <c r="C4" s="81" t="s">
        <v>10</v>
      </c>
      <c r="D4" s="82"/>
      <c r="E4" s="83"/>
      <c r="F4" s="84"/>
      <c r="G4" s="84"/>
      <c r="H4" s="4"/>
    </row>
    <row r="5" spans="1:11" ht="15.75">
      <c r="A5" s="65" t="s">
        <v>11</v>
      </c>
      <c r="B5" s="85"/>
      <c r="C5" s="86" t="s">
        <v>12</v>
      </c>
      <c r="D5" s="86"/>
      <c r="E5" s="86"/>
      <c r="F5" s="87" t="s">
        <v>13</v>
      </c>
      <c r="G5" s="87"/>
      <c r="H5" s="5" t="s">
        <v>12</v>
      </c>
    </row>
    <row r="6" spans="1:11" ht="18.75">
      <c r="A6" s="19" t="s">
        <v>14</v>
      </c>
      <c r="B6" s="20" t="s">
        <v>15</v>
      </c>
      <c r="C6" s="20" t="s">
        <v>16</v>
      </c>
      <c r="D6" s="20" t="s">
        <v>17</v>
      </c>
      <c r="E6" s="20" t="s">
        <v>18</v>
      </c>
      <c r="F6" s="20" t="s">
        <v>19</v>
      </c>
      <c r="G6" s="21" t="s">
        <v>20</v>
      </c>
      <c r="H6" s="20" t="s">
        <v>21</v>
      </c>
    </row>
    <row r="7" spans="1:11" ht="18" customHeight="1">
      <c r="A7" s="22">
        <v>0</v>
      </c>
      <c r="B7" s="23" t="s">
        <v>22</v>
      </c>
      <c r="C7" s="24"/>
      <c r="D7" s="25"/>
      <c r="E7" s="25"/>
      <c r="F7" s="25"/>
      <c r="G7" s="29"/>
      <c r="H7" s="25"/>
    </row>
    <row r="8" spans="1:11" ht="18" customHeight="1">
      <c r="A8" s="26">
        <v>1</v>
      </c>
      <c r="B8" s="25" t="s">
        <v>23</v>
      </c>
      <c r="C8" s="27" t="s">
        <v>24</v>
      </c>
      <c r="D8" s="26" t="s">
        <v>25</v>
      </c>
      <c r="E8" s="28">
        <v>1</v>
      </c>
      <c r="F8" s="28" t="s">
        <v>26</v>
      </c>
      <c r="G8" s="41" t="s">
        <v>27</v>
      </c>
      <c r="H8" s="25" t="s">
        <v>28</v>
      </c>
      <c r="K8" s="6"/>
    </row>
    <row r="9" spans="1:11" ht="18" customHeight="1">
      <c r="A9" s="26">
        <v>2</v>
      </c>
      <c r="B9" s="30" t="s">
        <v>29</v>
      </c>
      <c r="C9" s="26" t="s">
        <v>30</v>
      </c>
      <c r="D9" s="26" t="s">
        <v>25</v>
      </c>
      <c r="E9" s="28">
        <v>1</v>
      </c>
      <c r="F9" s="28" t="s">
        <v>26</v>
      </c>
      <c r="G9" s="41" t="s">
        <v>27</v>
      </c>
      <c r="H9" s="25" t="s">
        <v>31</v>
      </c>
    </row>
    <row r="10" spans="1:11" ht="18" customHeight="1">
      <c r="A10" s="26">
        <v>3</v>
      </c>
      <c r="B10" s="25" t="s">
        <v>32</v>
      </c>
      <c r="C10" s="27" t="s">
        <v>33</v>
      </c>
      <c r="D10" s="26" t="s">
        <v>25</v>
      </c>
      <c r="E10" s="28">
        <v>1</v>
      </c>
      <c r="F10" s="28" t="s">
        <v>26</v>
      </c>
      <c r="G10" s="41" t="s">
        <v>27</v>
      </c>
      <c r="H10" s="25" t="s">
        <v>34</v>
      </c>
      <c r="K10" s="6"/>
    </row>
    <row r="11" spans="1:11" ht="18" customHeight="1">
      <c r="A11" s="26">
        <v>4</v>
      </c>
      <c r="B11" s="30" t="s">
        <v>35</v>
      </c>
      <c r="C11" s="26" t="s">
        <v>36</v>
      </c>
      <c r="D11" s="26" t="s">
        <v>25</v>
      </c>
      <c r="E11" s="28">
        <v>1</v>
      </c>
      <c r="F11" s="28" t="s">
        <v>26</v>
      </c>
      <c r="G11" s="41" t="s">
        <v>27</v>
      </c>
      <c r="H11" s="25" t="s">
        <v>37</v>
      </c>
    </row>
    <row r="12" spans="1:11" ht="32.25">
      <c r="A12" s="26">
        <v>5</v>
      </c>
      <c r="B12" s="25" t="s">
        <v>38</v>
      </c>
      <c r="C12" s="52" t="s">
        <v>39</v>
      </c>
      <c r="D12" s="26" t="s">
        <v>25</v>
      </c>
      <c r="E12" s="28">
        <v>1</v>
      </c>
      <c r="F12" s="28" t="s">
        <v>26</v>
      </c>
      <c r="G12" s="41" t="s">
        <v>27</v>
      </c>
      <c r="H12" s="61" t="s">
        <v>40</v>
      </c>
    </row>
    <row r="13" spans="1:11" ht="18" customHeight="1">
      <c r="A13" s="26"/>
      <c r="B13" s="30"/>
      <c r="C13" s="28"/>
      <c r="D13" s="25"/>
      <c r="E13" s="25"/>
      <c r="F13" s="25"/>
      <c r="G13" s="41"/>
      <c r="H13" s="25"/>
    </row>
    <row r="14" spans="1:11" ht="18" customHeight="1">
      <c r="A14" s="26"/>
      <c r="B14" s="31" t="s">
        <v>41</v>
      </c>
      <c r="C14" s="28"/>
      <c r="D14" s="25"/>
      <c r="E14" s="25"/>
      <c r="F14" s="25"/>
      <c r="G14" s="41"/>
      <c r="H14" s="25"/>
    </row>
    <row r="15" spans="1:11" ht="18" customHeight="1">
      <c r="A15" s="26">
        <v>6</v>
      </c>
      <c r="B15" s="25" t="s">
        <v>42</v>
      </c>
      <c r="C15" s="24" t="s">
        <v>43</v>
      </c>
      <c r="D15" s="26" t="s">
        <v>44</v>
      </c>
      <c r="E15" s="28">
        <v>1</v>
      </c>
      <c r="F15" s="28" t="s">
        <v>26</v>
      </c>
      <c r="G15" s="41" t="s">
        <v>27</v>
      </c>
      <c r="H15" s="25"/>
    </row>
    <row r="16" spans="1:11" ht="18" customHeight="1">
      <c r="A16" s="26">
        <v>7</v>
      </c>
      <c r="B16" s="25" t="s">
        <v>45</v>
      </c>
      <c r="C16" s="24" t="s">
        <v>46</v>
      </c>
      <c r="D16" s="26" t="s">
        <v>25</v>
      </c>
      <c r="E16" s="28">
        <v>1</v>
      </c>
      <c r="F16" s="28" t="s">
        <v>26</v>
      </c>
      <c r="G16" s="41" t="s">
        <v>27</v>
      </c>
      <c r="H16" s="25"/>
    </row>
    <row r="17" spans="1:9" ht="18" customHeight="1">
      <c r="A17" s="26">
        <v>8</v>
      </c>
      <c r="B17" s="25" t="s">
        <v>47</v>
      </c>
      <c r="C17" s="24" t="s">
        <v>48</v>
      </c>
      <c r="D17" s="26" t="s">
        <v>8</v>
      </c>
      <c r="E17" s="32">
        <v>2.4940000000000002</v>
      </c>
      <c r="F17" s="28" t="s">
        <v>49</v>
      </c>
      <c r="G17" s="41" t="s">
        <v>50</v>
      </c>
      <c r="H17" s="25"/>
    </row>
    <row r="18" spans="1:9" ht="18" customHeight="1">
      <c r="A18" s="26">
        <v>9</v>
      </c>
      <c r="B18" s="33" t="s">
        <v>51</v>
      </c>
      <c r="C18" s="24" t="s">
        <v>52</v>
      </c>
      <c r="D18" s="26" t="s">
        <v>25</v>
      </c>
      <c r="E18" s="28">
        <v>2.4E-2</v>
      </c>
      <c r="F18" s="28" t="s">
        <v>49</v>
      </c>
      <c r="G18" s="41" t="s">
        <v>50</v>
      </c>
      <c r="H18" s="25"/>
    </row>
    <row r="19" spans="1:9" ht="18" customHeight="1">
      <c r="A19" s="26">
        <v>10</v>
      </c>
      <c r="B19" s="33" t="s">
        <v>53</v>
      </c>
      <c r="C19" s="24" t="s">
        <v>54</v>
      </c>
      <c r="D19" s="26" t="s">
        <v>25</v>
      </c>
      <c r="E19" s="28">
        <v>8.0000000000000002E-3</v>
      </c>
      <c r="F19" s="28" t="s">
        <v>49</v>
      </c>
      <c r="G19" s="41" t="s">
        <v>50</v>
      </c>
      <c r="H19" s="25"/>
    </row>
    <row r="20" spans="1:9" ht="18" customHeight="1">
      <c r="A20" s="26">
        <v>11</v>
      </c>
      <c r="B20" s="33" t="s">
        <v>55</v>
      </c>
      <c r="C20" s="24" t="s">
        <v>56</v>
      </c>
      <c r="D20" s="26" t="s">
        <v>44</v>
      </c>
      <c r="E20" s="28">
        <v>3</v>
      </c>
      <c r="F20" s="28" t="s">
        <v>57</v>
      </c>
      <c r="G20" s="41" t="s">
        <v>50</v>
      </c>
      <c r="H20" s="25"/>
    </row>
    <row r="21" spans="1:9" ht="18" customHeight="1">
      <c r="A21" s="26">
        <v>12</v>
      </c>
      <c r="B21" s="59" t="s">
        <v>58</v>
      </c>
      <c r="C21" s="24"/>
      <c r="D21" s="26" t="s">
        <v>25</v>
      </c>
      <c r="E21" s="28">
        <v>3</v>
      </c>
      <c r="F21" s="28" t="s">
        <v>26</v>
      </c>
      <c r="G21" s="41" t="s">
        <v>27</v>
      </c>
      <c r="H21" s="25" t="s">
        <v>59</v>
      </c>
    </row>
    <row r="22" spans="1:9" ht="18" customHeight="1">
      <c r="A22" s="26">
        <v>13</v>
      </c>
      <c r="B22" s="25" t="s">
        <v>60</v>
      </c>
      <c r="C22" s="24" t="s">
        <v>61</v>
      </c>
      <c r="D22" s="26" t="s">
        <v>25</v>
      </c>
      <c r="E22" s="32">
        <v>0.185</v>
      </c>
      <c r="F22" s="28" t="s">
        <v>49</v>
      </c>
      <c r="G22" s="41" t="s">
        <v>50</v>
      </c>
      <c r="H22" s="25"/>
    </row>
    <row r="23" spans="1:9" ht="18" customHeight="1">
      <c r="A23" s="26">
        <v>14</v>
      </c>
      <c r="B23" s="51" t="s">
        <v>62</v>
      </c>
      <c r="C23" s="24" t="s">
        <v>63</v>
      </c>
      <c r="D23" s="26" t="s">
        <v>25</v>
      </c>
      <c r="E23" s="28">
        <v>0.19500000000000001</v>
      </c>
      <c r="F23" s="28" t="s">
        <v>57</v>
      </c>
      <c r="G23" s="41" t="s">
        <v>50</v>
      </c>
      <c r="H23" s="25"/>
    </row>
    <row r="24" spans="1:9" ht="18" customHeight="1">
      <c r="A24" s="25"/>
      <c r="B24" s="25"/>
      <c r="C24" s="25"/>
      <c r="D24" s="25"/>
      <c r="E24" s="28"/>
      <c r="F24" s="28"/>
      <c r="G24" s="41"/>
      <c r="H24" s="25"/>
    </row>
    <row r="25" spans="1:9" ht="18" customHeight="1">
      <c r="A25" s="26">
        <v>15</v>
      </c>
      <c r="B25" s="34" t="s">
        <v>64</v>
      </c>
      <c r="C25" s="24"/>
      <c r="D25" s="26" t="s">
        <v>25</v>
      </c>
      <c r="E25" s="28">
        <v>2</v>
      </c>
      <c r="F25" s="35" t="s">
        <v>26</v>
      </c>
      <c r="G25" s="41" t="s">
        <v>50</v>
      </c>
      <c r="H25" s="25"/>
    </row>
    <row r="26" spans="1:9" ht="18" customHeight="1">
      <c r="A26" s="26">
        <v>16</v>
      </c>
      <c r="B26" s="51" t="s">
        <v>65</v>
      </c>
      <c r="C26" s="24" t="s">
        <v>66</v>
      </c>
      <c r="D26" s="26" t="s">
        <v>25</v>
      </c>
      <c r="E26" s="26">
        <v>2</v>
      </c>
      <c r="F26" s="35" t="s">
        <v>26</v>
      </c>
      <c r="G26" s="41" t="s">
        <v>50</v>
      </c>
      <c r="H26" s="25"/>
    </row>
    <row r="27" spans="1:9" ht="18" customHeight="1">
      <c r="A27" s="26">
        <v>17</v>
      </c>
      <c r="B27" s="25" t="s">
        <v>67</v>
      </c>
      <c r="C27" s="24" t="s">
        <v>68</v>
      </c>
      <c r="D27" s="26" t="s">
        <v>25</v>
      </c>
      <c r="E27" s="26">
        <v>2</v>
      </c>
      <c r="F27" s="35" t="s">
        <v>26</v>
      </c>
      <c r="G27" s="41" t="s">
        <v>50</v>
      </c>
      <c r="H27" s="25" t="s">
        <v>69</v>
      </c>
    </row>
    <row r="28" spans="1:9" ht="18" customHeight="1">
      <c r="A28" s="26">
        <v>18</v>
      </c>
      <c r="B28" s="25" t="s">
        <v>70</v>
      </c>
      <c r="C28" s="24" t="s">
        <v>71</v>
      </c>
      <c r="D28" s="26" t="s">
        <v>25</v>
      </c>
      <c r="E28" s="28">
        <v>10</v>
      </c>
      <c r="F28" s="35" t="s">
        <v>26</v>
      </c>
      <c r="G28" s="41" t="s">
        <v>50</v>
      </c>
      <c r="H28" s="25" t="s">
        <v>72</v>
      </c>
    </row>
    <row r="29" spans="1:9" ht="18" customHeight="1">
      <c r="A29" s="26">
        <v>19</v>
      </c>
      <c r="B29" s="51" t="s">
        <v>73</v>
      </c>
      <c r="C29" s="24" t="s">
        <v>74</v>
      </c>
      <c r="D29" s="26" t="s">
        <v>25</v>
      </c>
      <c r="E29" s="26">
        <v>0.36</v>
      </c>
      <c r="F29" s="25"/>
      <c r="G29" s="41" t="s">
        <v>50</v>
      </c>
      <c r="H29" s="25"/>
      <c r="I29" s="1"/>
    </row>
    <row r="30" spans="1:9" ht="18" customHeight="1">
      <c r="A30" s="25"/>
      <c r="B30" s="25"/>
      <c r="C30" s="25"/>
      <c r="D30" s="25"/>
      <c r="E30" s="25"/>
      <c r="F30" s="25"/>
      <c r="G30" s="41"/>
      <c r="H30" s="25"/>
    </row>
    <row r="31" spans="1:9" ht="18" customHeight="1">
      <c r="A31" s="26"/>
      <c r="B31" s="36" t="s">
        <v>75</v>
      </c>
      <c r="C31" s="28"/>
      <c r="D31" s="25"/>
      <c r="E31" s="25"/>
      <c r="F31" s="25"/>
      <c r="G31" s="41"/>
      <c r="H31" s="25"/>
    </row>
    <row r="32" spans="1:9" ht="18" customHeight="1">
      <c r="A32" s="26">
        <v>20</v>
      </c>
      <c r="B32" s="25" t="s">
        <v>76</v>
      </c>
      <c r="C32" s="24" t="s">
        <v>77</v>
      </c>
      <c r="D32" s="26" t="s">
        <v>44</v>
      </c>
      <c r="E32" s="28">
        <v>5</v>
      </c>
      <c r="F32" s="28" t="s">
        <v>26</v>
      </c>
      <c r="G32" s="41" t="s">
        <v>27</v>
      </c>
      <c r="H32" s="25"/>
    </row>
    <row r="33" spans="1:8" ht="18" customHeight="1">
      <c r="A33" s="26">
        <v>21</v>
      </c>
      <c r="B33" s="25" t="s">
        <v>78</v>
      </c>
      <c r="C33" s="24" t="s">
        <v>79</v>
      </c>
      <c r="D33" s="28" t="s">
        <v>44</v>
      </c>
      <c r="E33" s="28">
        <v>80</v>
      </c>
      <c r="F33" s="28" t="s">
        <v>26</v>
      </c>
      <c r="G33" s="41" t="s">
        <v>27</v>
      </c>
      <c r="H33" s="25"/>
    </row>
    <row r="34" spans="1:8" ht="18" customHeight="1">
      <c r="A34" s="26">
        <v>22</v>
      </c>
      <c r="B34" s="25" t="s">
        <v>80</v>
      </c>
      <c r="C34" s="24" t="s">
        <v>81</v>
      </c>
      <c r="D34" s="28" t="s">
        <v>44</v>
      </c>
      <c r="E34" s="28">
        <v>2</v>
      </c>
      <c r="F34" s="28" t="s">
        <v>26</v>
      </c>
      <c r="G34" s="41" t="s">
        <v>27</v>
      </c>
      <c r="H34" s="25"/>
    </row>
    <row r="35" spans="1:8" ht="18" customHeight="1">
      <c r="A35" s="26">
        <v>23</v>
      </c>
      <c r="B35" s="30" t="s">
        <v>82</v>
      </c>
      <c r="C35" s="24" t="s">
        <v>83</v>
      </c>
      <c r="D35" s="28" t="s">
        <v>44</v>
      </c>
      <c r="E35" s="28">
        <v>2</v>
      </c>
      <c r="F35" s="28" t="s">
        <v>26</v>
      </c>
      <c r="G35" s="41" t="s">
        <v>27</v>
      </c>
      <c r="H35" s="25"/>
    </row>
    <row r="36" spans="1:8" ht="18" customHeight="1">
      <c r="A36" s="26">
        <v>24</v>
      </c>
      <c r="B36" s="25" t="s">
        <v>84</v>
      </c>
      <c r="C36" s="24" t="s">
        <v>85</v>
      </c>
      <c r="D36" s="26" t="s">
        <v>25</v>
      </c>
      <c r="E36" s="28">
        <v>1</v>
      </c>
      <c r="F36" s="28" t="s">
        <v>26</v>
      </c>
      <c r="G36" s="41" t="s">
        <v>27</v>
      </c>
      <c r="H36" s="25"/>
    </row>
    <row r="37" spans="1:8" ht="18" customHeight="1">
      <c r="A37" s="26">
        <v>25</v>
      </c>
      <c r="B37" s="25" t="s">
        <v>86</v>
      </c>
      <c r="C37" s="24" t="s">
        <v>87</v>
      </c>
      <c r="D37" s="26" t="s">
        <v>25</v>
      </c>
      <c r="E37" s="28">
        <v>1</v>
      </c>
      <c r="F37" s="28" t="s">
        <v>26</v>
      </c>
      <c r="G37" s="41" t="s">
        <v>50</v>
      </c>
      <c r="H37" s="25"/>
    </row>
    <row r="38" spans="1:8" ht="18" customHeight="1">
      <c r="A38" s="26">
        <v>26</v>
      </c>
      <c r="B38" s="33" t="s">
        <v>88</v>
      </c>
      <c r="C38" s="24" t="s">
        <v>89</v>
      </c>
      <c r="D38" s="26" t="s">
        <v>25</v>
      </c>
      <c r="E38" s="28">
        <v>1</v>
      </c>
      <c r="F38" s="28" t="s">
        <v>26</v>
      </c>
      <c r="G38" s="41" t="s">
        <v>27</v>
      </c>
      <c r="H38" s="25"/>
    </row>
    <row r="39" spans="1:8" ht="18" customHeight="1">
      <c r="A39" s="26">
        <v>27</v>
      </c>
      <c r="B39" s="25" t="s">
        <v>90</v>
      </c>
      <c r="C39" s="24" t="s">
        <v>91</v>
      </c>
      <c r="D39" s="26" t="s">
        <v>8</v>
      </c>
      <c r="E39" s="28">
        <v>1</v>
      </c>
      <c r="F39" s="28" t="s">
        <v>26</v>
      </c>
      <c r="G39" s="41" t="s">
        <v>50</v>
      </c>
      <c r="H39" s="25"/>
    </row>
    <row r="40" spans="1:8" ht="18" customHeight="1">
      <c r="A40" s="26">
        <v>28</v>
      </c>
      <c r="B40" s="25" t="s">
        <v>92</v>
      </c>
      <c r="C40" s="24" t="s">
        <v>93</v>
      </c>
      <c r="D40" s="26" t="s">
        <v>25</v>
      </c>
      <c r="E40" s="28">
        <v>1</v>
      </c>
      <c r="F40" s="28" t="s">
        <v>26</v>
      </c>
      <c r="G40" s="41" t="s">
        <v>50</v>
      </c>
      <c r="H40" s="25"/>
    </row>
    <row r="41" spans="1:8" ht="18" customHeight="1">
      <c r="A41" s="26">
        <v>29</v>
      </c>
      <c r="B41" s="48" t="s">
        <v>94</v>
      </c>
      <c r="C41" s="27" t="s">
        <v>95</v>
      </c>
      <c r="D41" s="26" t="s">
        <v>25</v>
      </c>
      <c r="E41" s="28">
        <v>1</v>
      </c>
      <c r="F41" s="28" t="s">
        <v>26</v>
      </c>
      <c r="G41" s="41" t="s">
        <v>27</v>
      </c>
      <c r="H41" s="25" t="s">
        <v>96</v>
      </c>
    </row>
    <row r="42" spans="1:8" ht="32.25">
      <c r="A42" s="26">
        <v>30</v>
      </c>
      <c r="B42" s="48" t="s">
        <v>97</v>
      </c>
      <c r="C42" s="53" t="s">
        <v>98</v>
      </c>
      <c r="D42" s="26" t="s">
        <v>25</v>
      </c>
      <c r="E42" s="28">
        <v>1</v>
      </c>
      <c r="F42" s="28" t="s">
        <v>26</v>
      </c>
      <c r="G42" s="41" t="s">
        <v>27</v>
      </c>
      <c r="H42" s="61" t="s">
        <v>99</v>
      </c>
    </row>
    <row r="43" spans="1:8" ht="18" customHeight="1">
      <c r="A43" s="25"/>
      <c r="B43" s="25"/>
      <c r="C43" s="25"/>
      <c r="D43" s="25"/>
      <c r="E43" s="25"/>
      <c r="F43" s="25"/>
      <c r="G43" s="41"/>
      <c r="H43" s="25"/>
    </row>
    <row r="44" spans="1:8" ht="18" customHeight="1">
      <c r="A44" s="26">
        <v>31</v>
      </c>
      <c r="B44" s="33" t="s">
        <v>100</v>
      </c>
      <c r="C44" s="24" t="s">
        <v>101</v>
      </c>
      <c r="D44" s="26" t="s">
        <v>25</v>
      </c>
      <c r="E44" s="28">
        <v>1</v>
      </c>
      <c r="F44" s="28" t="s">
        <v>26</v>
      </c>
      <c r="G44" s="41" t="s">
        <v>27</v>
      </c>
      <c r="H44" s="25"/>
    </row>
    <row r="45" spans="1:8" ht="32.25">
      <c r="A45" s="26">
        <v>32</v>
      </c>
      <c r="B45" s="25" t="s">
        <v>102</v>
      </c>
      <c r="C45" s="53" t="s">
        <v>103</v>
      </c>
      <c r="D45" s="28" t="s">
        <v>44</v>
      </c>
      <c r="E45" s="28">
        <v>1</v>
      </c>
      <c r="F45" s="28" t="s">
        <v>26</v>
      </c>
      <c r="G45" s="41" t="s">
        <v>27</v>
      </c>
      <c r="H45" s="61" t="s">
        <v>104</v>
      </c>
    </row>
    <row r="46" spans="1:8" ht="32.25">
      <c r="A46" s="26">
        <v>33</v>
      </c>
      <c r="B46" s="25" t="s">
        <v>105</v>
      </c>
      <c r="C46" s="52" t="s">
        <v>106</v>
      </c>
      <c r="D46" s="26" t="s">
        <v>25</v>
      </c>
      <c r="E46" s="28">
        <v>1</v>
      </c>
      <c r="F46" s="28" t="s">
        <v>26</v>
      </c>
      <c r="G46" s="41" t="s">
        <v>27</v>
      </c>
      <c r="H46" s="61" t="s">
        <v>107</v>
      </c>
    </row>
    <row r="47" spans="1:8" ht="18" customHeight="1">
      <c r="A47" s="55">
        <v>34</v>
      </c>
      <c r="B47" s="56" t="s">
        <v>108</v>
      </c>
      <c r="C47" s="52" t="s">
        <v>109</v>
      </c>
      <c r="D47" s="26" t="s">
        <v>25</v>
      </c>
      <c r="E47" s="28">
        <v>1</v>
      </c>
      <c r="F47" s="28" t="s">
        <v>26</v>
      </c>
      <c r="G47" s="41" t="s">
        <v>27</v>
      </c>
      <c r="H47" s="25" t="s">
        <v>110</v>
      </c>
    </row>
    <row r="48" spans="1:8" ht="18" customHeight="1">
      <c r="A48" s="55">
        <v>35</v>
      </c>
      <c r="B48" s="56" t="s">
        <v>111</v>
      </c>
      <c r="C48" s="52"/>
      <c r="D48" s="26"/>
      <c r="E48" s="28">
        <v>3</v>
      </c>
      <c r="F48" s="28" t="s">
        <v>26</v>
      </c>
      <c r="G48" s="41" t="s">
        <v>27</v>
      </c>
      <c r="H48" s="25"/>
    </row>
    <row r="49" spans="1:9" ht="18" customHeight="1">
      <c r="A49" s="26">
        <v>36</v>
      </c>
      <c r="B49" s="25" t="s">
        <v>112</v>
      </c>
      <c r="C49" s="52" t="s">
        <v>113</v>
      </c>
      <c r="D49" s="26" t="s">
        <v>25</v>
      </c>
      <c r="E49" s="28">
        <v>3</v>
      </c>
      <c r="F49" s="28" t="s">
        <v>26</v>
      </c>
      <c r="G49" s="41" t="s">
        <v>50</v>
      </c>
      <c r="H49" s="25"/>
    </row>
    <row r="50" spans="1:9" ht="32.25">
      <c r="A50" s="26">
        <v>37</v>
      </c>
      <c r="B50" s="25" t="s">
        <v>114</v>
      </c>
      <c r="C50" s="52" t="s">
        <v>115</v>
      </c>
      <c r="D50" s="26" t="s">
        <v>25</v>
      </c>
      <c r="E50" s="28">
        <v>1</v>
      </c>
      <c r="F50" s="28" t="s">
        <v>26</v>
      </c>
      <c r="G50" s="41" t="s">
        <v>27</v>
      </c>
      <c r="H50" s="61" t="s">
        <v>99</v>
      </c>
    </row>
    <row r="51" spans="1:9" ht="18" customHeight="1">
      <c r="A51" s="26">
        <v>38</v>
      </c>
      <c r="B51" s="25" t="s">
        <v>116</v>
      </c>
      <c r="C51" s="52" t="s">
        <v>117</v>
      </c>
      <c r="D51" s="26" t="s">
        <v>25</v>
      </c>
      <c r="E51" s="28">
        <v>1</v>
      </c>
      <c r="F51" s="28" t="s">
        <v>26</v>
      </c>
      <c r="G51" s="41" t="s">
        <v>50</v>
      </c>
      <c r="H51" s="25"/>
    </row>
    <row r="52" spans="1:9" ht="18" customHeight="1">
      <c r="A52" s="26">
        <v>39</v>
      </c>
      <c r="B52" s="25" t="s">
        <v>118</v>
      </c>
      <c r="C52" s="53" t="s">
        <v>119</v>
      </c>
      <c r="D52" s="26" t="s">
        <v>44</v>
      </c>
      <c r="E52" s="28">
        <v>1</v>
      </c>
      <c r="F52" s="28" t="s">
        <v>26</v>
      </c>
      <c r="G52" s="41" t="s">
        <v>50</v>
      </c>
      <c r="H52" s="25"/>
    </row>
    <row r="53" spans="1:9" ht="18" customHeight="1">
      <c r="A53" s="26">
        <v>40</v>
      </c>
      <c r="B53" s="25" t="s">
        <v>120</v>
      </c>
      <c r="C53" s="53" t="s">
        <v>121</v>
      </c>
      <c r="D53" s="26" t="s">
        <v>44</v>
      </c>
      <c r="E53" s="28">
        <v>1</v>
      </c>
      <c r="F53" s="28" t="s">
        <v>26</v>
      </c>
      <c r="G53" s="41" t="s">
        <v>50</v>
      </c>
      <c r="H53" s="25"/>
    </row>
    <row r="54" spans="1:9" ht="18" customHeight="1">
      <c r="A54" s="26">
        <v>41</v>
      </c>
      <c r="B54" s="33" t="s">
        <v>122</v>
      </c>
      <c r="C54" s="53" t="s">
        <v>123</v>
      </c>
      <c r="D54" s="26" t="s">
        <v>44</v>
      </c>
      <c r="E54" s="28">
        <v>6</v>
      </c>
      <c r="F54" s="28" t="s">
        <v>26</v>
      </c>
      <c r="G54" s="41" t="s">
        <v>50</v>
      </c>
      <c r="H54" s="25" t="s">
        <v>124</v>
      </c>
    </row>
    <row r="55" spans="1:9" ht="18" customHeight="1">
      <c r="A55" s="26">
        <v>42</v>
      </c>
      <c r="B55" s="33" t="s">
        <v>125</v>
      </c>
      <c r="C55" s="53" t="s">
        <v>126</v>
      </c>
      <c r="D55" s="26" t="s">
        <v>25</v>
      </c>
      <c r="E55" s="28">
        <v>12</v>
      </c>
      <c r="F55" s="28" t="s">
        <v>26</v>
      </c>
      <c r="G55" s="41" t="s">
        <v>50</v>
      </c>
      <c r="H55" s="25" t="s">
        <v>124</v>
      </c>
      <c r="I55" s="1"/>
    </row>
    <row r="56" spans="1:9" ht="18" customHeight="1">
      <c r="A56" s="26">
        <v>43</v>
      </c>
      <c r="B56" s="33" t="s">
        <v>127</v>
      </c>
      <c r="C56" s="53" t="s">
        <v>128</v>
      </c>
      <c r="D56" s="26" t="s">
        <v>25</v>
      </c>
      <c r="E56" s="28">
        <v>8</v>
      </c>
      <c r="F56" s="28" t="s">
        <v>26</v>
      </c>
      <c r="G56" s="41" t="s">
        <v>50</v>
      </c>
      <c r="H56" s="25"/>
    </row>
    <row r="57" spans="1:9" ht="18" customHeight="1">
      <c r="A57" s="26">
        <v>44</v>
      </c>
      <c r="B57" s="33" t="s">
        <v>129</v>
      </c>
      <c r="C57" s="53" t="s">
        <v>130</v>
      </c>
      <c r="D57" s="26" t="s">
        <v>25</v>
      </c>
      <c r="E57" s="28">
        <v>2</v>
      </c>
      <c r="F57" s="28" t="s">
        <v>26</v>
      </c>
      <c r="G57" s="41" t="s">
        <v>50</v>
      </c>
      <c r="H57" s="25" t="s">
        <v>96</v>
      </c>
    </row>
    <row r="58" spans="1:9" ht="18" customHeight="1">
      <c r="A58" s="26">
        <v>45</v>
      </c>
      <c r="B58" s="33" t="s">
        <v>131</v>
      </c>
      <c r="C58" s="53" t="s">
        <v>132</v>
      </c>
      <c r="D58" s="26" t="s">
        <v>25</v>
      </c>
      <c r="E58" s="28">
        <v>8</v>
      </c>
      <c r="F58" s="28" t="s">
        <v>26</v>
      </c>
      <c r="G58" s="41" t="s">
        <v>50</v>
      </c>
      <c r="H58" s="25" t="s">
        <v>96</v>
      </c>
    </row>
    <row r="59" spans="1:9" ht="18" customHeight="1">
      <c r="A59" s="55">
        <v>46</v>
      </c>
      <c r="B59" s="56" t="s">
        <v>133</v>
      </c>
      <c r="C59" s="24" t="s">
        <v>134</v>
      </c>
      <c r="D59" s="26" t="s">
        <v>44</v>
      </c>
      <c r="E59" s="60">
        <v>6</v>
      </c>
      <c r="F59" s="28" t="s">
        <v>26</v>
      </c>
      <c r="G59" s="41" t="s">
        <v>50</v>
      </c>
      <c r="H59" s="25"/>
    </row>
    <row r="60" spans="1:9" ht="18" customHeight="1">
      <c r="A60" s="55">
        <v>47</v>
      </c>
      <c r="B60" s="56" t="s">
        <v>135</v>
      </c>
      <c r="C60" s="24" t="s">
        <v>136</v>
      </c>
      <c r="D60" s="26" t="s">
        <v>44</v>
      </c>
      <c r="E60" s="60">
        <v>6</v>
      </c>
      <c r="F60" s="28" t="s">
        <v>26</v>
      </c>
      <c r="G60" s="41" t="s">
        <v>50</v>
      </c>
      <c r="H60" s="25"/>
    </row>
    <row r="61" spans="1:9" ht="18" customHeight="1">
      <c r="A61" s="55">
        <v>48</v>
      </c>
      <c r="B61" s="56" t="s">
        <v>137</v>
      </c>
      <c r="C61" s="24" t="s">
        <v>138</v>
      </c>
      <c r="D61" s="26" t="s">
        <v>44</v>
      </c>
      <c r="E61" s="60">
        <v>6</v>
      </c>
      <c r="F61" s="28" t="s">
        <v>26</v>
      </c>
      <c r="G61" s="41" t="s">
        <v>50</v>
      </c>
      <c r="H61" s="25"/>
    </row>
    <row r="62" spans="1:9" ht="18" customHeight="1">
      <c r="A62" s="25"/>
      <c r="B62" s="25"/>
      <c r="C62" s="25"/>
      <c r="D62" s="25"/>
      <c r="E62" s="25"/>
      <c r="F62" s="28"/>
      <c r="G62" s="41"/>
      <c r="H62" s="25"/>
    </row>
    <row r="63" spans="1:9" ht="18" customHeight="1">
      <c r="A63" s="26">
        <v>49</v>
      </c>
      <c r="B63" s="37" t="s">
        <v>139</v>
      </c>
      <c r="C63" s="38"/>
      <c r="D63" s="26" t="s">
        <v>140</v>
      </c>
      <c r="E63" s="28">
        <v>1</v>
      </c>
      <c r="F63" s="28" t="s">
        <v>26</v>
      </c>
      <c r="G63" s="41" t="s">
        <v>50</v>
      </c>
      <c r="H63" s="25"/>
    </row>
    <row r="64" spans="1:9" ht="18" customHeight="1">
      <c r="A64" s="26">
        <v>50</v>
      </c>
      <c r="B64" s="25" t="s">
        <v>141</v>
      </c>
      <c r="C64" s="26"/>
      <c r="D64" s="26" t="s">
        <v>44</v>
      </c>
      <c r="E64" s="26">
        <v>1</v>
      </c>
      <c r="F64" s="28" t="s">
        <v>26</v>
      </c>
      <c r="G64" s="41" t="s">
        <v>50</v>
      </c>
      <c r="H64" s="25" t="s">
        <v>142</v>
      </c>
    </row>
    <row r="65" spans="1:8" ht="18" customHeight="1">
      <c r="A65" s="26">
        <v>51</v>
      </c>
      <c r="B65" s="25" t="s">
        <v>143</v>
      </c>
      <c r="C65" s="24" t="s">
        <v>144</v>
      </c>
      <c r="D65" s="26" t="s">
        <v>25</v>
      </c>
      <c r="E65" s="26">
        <v>1</v>
      </c>
      <c r="F65" s="28" t="s">
        <v>26</v>
      </c>
      <c r="G65" s="41" t="s">
        <v>50</v>
      </c>
      <c r="H65" s="25" t="s">
        <v>145</v>
      </c>
    </row>
    <row r="66" spans="1:8" ht="18" customHeight="1">
      <c r="A66" s="26">
        <v>52</v>
      </c>
      <c r="B66" s="25" t="s">
        <v>146</v>
      </c>
      <c r="C66" s="24" t="s">
        <v>147</v>
      </c>
      <c r="D66" s="26" t="s">
        <v>25</v>
      </c>
      <c r="E66" s="26">
        <v>8</v>
      </c>
      <c r="F66" s="28" t="s">
        <v>26</v>
      </c>
      <c r="G66" s="41" t="s">
        <v>50</v>
      </c>
      <c r="H66" s="25" t="s">
        <v>148</v>
      </c>
    </row>
    <row r="67" spans="1:8" ht="18" customHeight="1">
      <c r="A67" s="26">
        <v>53</v>
      </c>
      <c r="B67" s="25" t="s">
        <v>149</v>
      </c>
      <c r="C67" s="24" t="s">
        <v>150</v>
      </c>
      <c r="D67" s="26" t="s">
        <v>25</v>
      </c>
      <c r="E67" s="28">
        <v>1</v>
      </c>
      <c r="F67" s="28" t="s">
        <v>26</v>
      </c>
      <c r="G67" s="41" t="s">
        <v>50</v>
      </c>
      <c r="H67" s="25" t="s">
        <v>151</v>
      </c>
    </row>
    <row r="68" spans="1:8" ht="18" customHeight="1">
      <c r="A68" s="26">
        <v>54</v>
      </c>
      <c r="B68" s="25" t="s">
        <v>152</v>
      </c>
      <c r="C68" s="24" t="s">
        <v>153</v>
      </c>
      <c r="D68" s="26" t="s">
        <v>25</v>
      </c>
      <c r="E68" s="26">
        <v>1</v>
      </c>
      <c r="F68" s="28" t="s">
        <v>26</v>
      </c>
      <c r="G68" s="41" t="s">
        <v>50</v>
      </c>
      <c r="H68" s="25" t="s">
        <v>154</v>
      </c>
    </row>
    <row r="69" spans="1:8" ht="18" customHeight="1">
      <c r="A69" s="26">
        <v>55</v>
      </c>
      <c r="B69" s="25" t="s">
        <v>155</v>
      </c>
      <c r="C69" s="24" t="s">
        <v>156</v>
      </c>
      <c r="D69" s="26" t="s">
        <v>25</v>
      </c>
      <c r="E69" s="26">
        <v>9</v>
      </c>
      <c r="F69" s="28" t="s">
        <v>26</v>
      </c>
      <c r="G69" s="41" t="s">
        <v>50</v>
      </c>
      <c r="H69" s="25" t="s">
        <v>157</v>
      </c>
    </row>
    <row r="70" spans="1:8" ht="18" customHeight="1">
      <c r="A70" s="26">
        <v>56</v>
      </c>
      <c r="B70" s="51" t="s">
        <v>158</v>
      </c>
      <c r="C70" s="24" t="s">
        <v>159</v>
      </c>
      <c r="D70" s="26"/>
      <c r="E70" s="26"/>
      <c r="F70" s="28"/>
      <c r="G70" s="41"/>
      <c r="H70" s="25"/>
    </row>
    <row r="71" spans="1:8" ht="18" customHeight="1">
      <c r="A71" s="26">
        <v>57</v>
      </c>
      <c r="B71" s="51" t="s">
        <v>160</v>
      </c>
      <c r="C71" s="24" t="s">
        <v>161</v>
      </c>
      <c r="D71" s="26" t="s">
        <v>25</v>
      </c>
      <c r="E71" s="26">
        <v>9</v>
      </c>
      <c r="F71" s="28" t="s">
        <v>26</v>
      </c>
      <c r="G71" s="41" t="s">
        <v>50</v>
      </c>
      <c r="H71" s="25" t="s">
        <v>162</v>
      </c>
    </row>
    <row r="72" spans="1:8" ht="18" customHeight="1">
      <c r="A72" s="26">
        <v>58</v>
      </c>
      <c r="B72" s="25" t="s">
        <v>163</v>
      </c>
      <c r="C72" s="24" t="s">
        <v>164</v>
      </c>
      <c r="D72" s="26" t="s">
        <v>25</v>
      </c>
      <c r="E72" s="26">
        <v>1</v>
      </c>
      <c r="F72" s="28" t="s">
        <v>26</v>
      </c>
      <c r="G72" s="41" t="s">
        <v>50</v>
      </c>
      <c r="H72" s="25" t="s">
        <v>165</v>
      </c>
    </row>
    <row r="73" spans="1:8" ht="18" customHeight="1">
      <c r="A73" s="26">
        <v>59</v>
      </c>
      <c r="B73" s="25" t="s">
        <v>166</v>
      </c>
      <c r="C73" s="24" t="s">
        <v>167</v>
      </c>
      <c r="D73" s="26" t="s">
        <v>44</v>
      </c>
      <c r="E73" s="28">
        <v>1</v>
      </c>
      <c r="F73" s="28" t="s">
        <v>26</v>
      </c>
      <c r="G73" s="41" t="s">
        <v>50</v>
      </c>
      <c r="H73" s="25"/>
    </row>
    <row r="74" spans="1:8" ht="18" customHeight="1">
      <c r="A74" s="26">
        <v>60</v>
      </c>
      <c r="B74" s="25" t="s">
        <v>168</v>
      </c>
      <c r="C74" s="54" t="s">
        <v>169</v>
      </c>
      <c r="D74" s="26" t="s">
        <v>44</v>
      </c>
      <c r="E74" s="28">
        <v>1</v>
      </c>
      <c r="F74" s="28" t="s">
        <v>26</v>
      </c>
      <c r="G74" s="41" t="s">
        <v>27</v>
      </c>
      <c r="H74" s="61" t="s">
        <v>170</v>
      </c>
    </row>
    <row r="75" spans="1:8" ht="18" customHeight="1">
      <c r="A75" s="26">
        <v>61</v>
      </c>
      <c r="B75" s="25" t="s">
        <v>171</v>
      </c>
      <c r="C75" s="54"/>
      <c r="D75" s="26"/>
      <c r="E75" s="28"/>
      <c r="F75" s="28"/>
      <c r="G75" s="41"/>
      <c r="H75" s="61"/>
    </row>
    <row r="76" spans="1:8" ht="18" customHeight="1">
      <c r="A76" s="26"/>
      <c r="B76" s="25"/>
      <c r="C76" s="54"/>
      <c r="D76" s="26"/>
      <c r="E76" s="28"/>
      <c r="F76" s="28"/>
      <c r="G76" s="41"/>
      <c r="H76" s="61"/>
    </row>
    <row r="77" spans="1:8" ht="15.75">
      <c r="A77" s="26">
        <v>62</v>
      </c>
      <c r="B77" s="37" t="s">
        <v>172</v>
      </c>
      <c r="C77" s="39"/>
      <c r="D77" s="26" t="s">
        <v>8</v>
      </c>
      <c r="E77" s="28">
        <v>1</v>
      </c>
      <c r="F77" s="28" t="s">
        <v>26</v>
      </c>
      <c r="G77" s="41" t="s">
        <v>50</v>
      </c>
      <c r="H77" s="25"/>
    </row>
    <row r="78" spans="1:8" ht="18" customHeight="1">
      <c r="A78" s="26">
        <v>63</v>
      </c>
      <c r="B78" s="25" t="s">
        <v>173</v>
      </c>
      <c r="C78" s="24"/>
      <c r="D78" s="26" t="s">
        <v>44</v>
      </c>
      <c r="E78" s="26">
        <v>1</v>
      </c>
      <c r="F78" s="35" t="s">
        <v>26</v>
      </c>
      <c r="G78" s="41" t="s">
        <v>50</v>
      </c>
      <c r="H78" s="25"/>
    </row>
    <row r="79" spans="1:8" ht="18" customHeight="1">
      <c r="A79" s="26">
        <v>64</v>
      </c>
      <c r="B79" s="25" t="s">
        <v>174</v>
      </c>
      <c r="C79" s="24" t="s">
        <v>175</v>
      </c>
      <c r="D79" s="26" t="s">
        <v>25</v>
      </c>
      <c r="E79" s="26">
        <v>1</v>
      </c>
      <c r="F79" s="35" t="s">
        <v>26</v>
      </c>
      <c r="G79" s="41" t="s">
        <v>50</v>
      </c>
      <c r="H79" s="25" t="s">
        <v>176</v>
      </c>
    </row>
    <row r="80" spans="1:8" ht="18" customHeight="1">
      <c r="A80" s="26">
        <v>65</v>
      </c>
      <c r="B80" s="25" t="s">
        <v>177</v>
      </c>
      <c r="C80" s="24" t="s">
        <v>178</v>
      </c>
      <c r="D80" s="26" t="s">
        <v>25</v>
      </c>
      <c r="E80" s="26">
        <v>6</v>
      </c>
      <c r="F80" s="35" t="s">
        <v>26</v>
      </c>
      <c r="G80" s="41" t="s">
        <v>50</v>
      </c>
      <c r="H80" s="25"/>
    </row>
    <row r="81" spans="1:8" ht="18" customHeight="1">
      <c r="A81" s="26">
        <v>66</v>
      </c>
      <c r="B81" s="40" t="s">
        <v>179</v>
      </c>
      <c r="C81" s="24" t="s">
        <v>180</v>
      </c>
      <c r="D81" s="26" t="s">
        <v>25</v>
      </c>
      <c r="E81" s="41">
        <v>2</v>
      </c>
      <c r="F81" s="42" t="s">
        <v>26</v>
      </c>
      <c r="G81" s="41" t="s">
        <v>50</v>
      </c>
      <c r="H81" s="25" t="s">
        <v>181</v>
      </c>
    </row>
    <row r="82" spans="1:8" ht="18" customHeight="1">
      <c r="A82" s="26">
        <v>67</v>
      </c>
      <c r="B82" s="49" t="s">
        <v>182</v>
      </c>
      <c r="C82" s="24" t="s">
        <v>183</v>
      </c>
      <c r="D82" s="44" t="s">
        <v>25</v>
      </c>
      <c r="E82" s="44">
        <v>2</v>
      </c>
      <c r="F82" s="45" t="s">
        <v>26</v>
      </c>
      <c r="G82" s="62" t="s">
        <v>50</v>
      </c>
      <c r="H82" s="25" t="s">
        <v>184</v>
      </c>
    </row>
    <row r="83" spans="1:8" ht="18" customHeight="1">
      <c r="A83" s="25"/>
      <c r="B83" s="25"/>
      <c r="C83" s="25"/>
      <c r="D83" s="25"/>
      <c r="E83" s="25"/>
      <c r="F83" s="25"/>
      <c r="G83" s="29"/>
      <c r="H83" s="25"/>
    </row>
    <row r="84" spans="1:8" ht="18" customHeight="1">
      <c r="A84" s="26">
        <v>68</v>
      </c>
      <c r="B84" s="33" t="s">
        <v>185</v>
      </c>
      <c r="C84" s="43" t="s">
        <v>186</v>
      </c>
      <c r="D84" s="26" t="s">
        <v>25</v>
      </c>
      <c r="E84" s="28">
        <v>1</v>
      </c>
      <c r="F84" s="28" t="s">
        <v>26</v>
      </c>
      <c r="G84" s="41" t="s">
        <v>27</v>
      </c>
      <c r="H84" s="25" t="s">
        <v>187</v>
      </c>
    </row>
    <row r="85" spans="1:8" ht="18" customHeight="1">
      <c r="A85" s="26">
        <v>69</v>
      </c>
      <c r="B85" s="33" t="s">
        <v>188</v>
      </c>
      <c r="C85" s="43" t="s">
        <v>189</v>
      </c>
      <c r="D85" s="26" t="s">
        <v>25</v>
      </c>
      <c r="E85" s="28">
        <v>1</v>
      </c>
      <c r="F85" s="28" t="s">
        <v>26</v>
      </c>
      <c r="G85" s="41" t="s">
        <v>27</v>
      </c>
      <c r="H85" s="25" t="s">
        <v>190</v>
      </c>
    </row>
    <row r="86" spans="1:8" ht="39.75" customHeight="1">
      <c r="A86" s="26">
        <v>70</v>
      </c>
      <c r="B86" s="50" t="s">
        <v>191</v>
      </c>
      <c r="C86" s="24" t="s">
        <v>192</v>
      </c>
      <c r="D86" s="46" t="s">
        <v>25</v>
      </c>
      <c r="E86" s="47">
        <v>1</v>
      </c>
      <c r="F86" s="47" t="s">
        <v>26</v>
      </c>
      <c r="G86" s="63" t="s">
        <v>27</v>
      </c>
      <c r="H86" s="61" t="s">
        <v>193</v>
      </c>
    </row>
    <row r="87" spans="1:8" ht="32.25">
      <c r="A87" s="26">
        <v>71</v>
      </c>
      <c r="B87" s="33" t="s">
        <v>194</v>
      </c>
      <c r="C87" s="24" t="s">
        <v>195</v>
      </c>
      <c r="D87" s="26" t="s">
        <v>25</v>
      </c>
      <c r="E87" s="28">
        <v>1</v>
      </c>
      <c r="F87" s="28" t="s">
        <v>26</v>
      </c>
      <c r="G87" s="41" t="s">
        <v>27</v>
      </c>
      <c r="H87" s="61" t="s">
        <v>196</v>
      </c>
    </row>
    <row r="88" spans="1:8" ht="18" customHeight="1">
      <c r="A88" s="44">
        <v>72</v>
      </c>
      <c r="B88" s="25" t="s">
        <v>197</v>
      </c>
      <c r="C88" s="24" t="s">
        <v>198</v>
      </c>
      <c r="D88" s="26" t="s">
        <v>25</v>
      </c>
      <c r="E88" s="28">
        <v>1</v>
      </c>
      <c r="F88" s="28" t="s">
        <v>26</v>
      </c>
      <c r="G88" s="41" t="s">
        <v>27</v>
      </c>
      <c r="H88" s="64" t="s">
        <v>199</v>
      </c>
    </row>
    <row r="89" spans="1:8" ht="18" customHeight="1">
      <c r="A89" s="26">
        <v>73</v>
      </c>
      <c r="B89" s="58" t="s">
        <v>200</v>
      </c>
      <c r="C89" s="24"/>
      <c r="D89" s="26" t="s">
        <v>25</v>
      </c>
      <c r="E89" s="28">
        <v>1</v>
      </c>
      <c r="F89" s="28" t="s">
        <v>26</v>
      </c>
      <c r="G89" s="41" t="s">
        <v>50</v>
      </c>
      <c r="H89" s="25" t="s">
        <v>96</v>
      </c>
    </row>
    <row r="90" spans="1:8" ht="15.75">
      <c r="A90" s="57"/>
    </row>
    <row r="91" spans="1:8">
      <c r="A91" s="1"/>
      <c r="B91" s="1"/>
      <c r="C91" s="1"/>
      <c r="D91" s="1"/>
      <c r="E91" s="1"/>
      <c r="F91" s="1"/>
      <c r="G91" s="1"/>
      <c r="H91" s="1"/>
    </row>
  </sheetData>
  <mergeCells count="14">
    <mergeCell ref="A4:B4"/>
    <mergeCell ref="C4:E4"/>
    <mergeCell ref="F4:G4"/>
    <mergeCell ref="A5:B5"/>
    <mergeCell ref="C5:E5"/>
    <mergeCell ref="F5:G5"/>
    <mergeCell ref="A3:B3"/>
    <mergeCell ref="C3:E3"/>
    <mergeCell ref="F3:G3"/>
    <mergeCell ref="A1:B1"/>
    <mergeCell ref="C1:H1"/>
    <mergeCell ref="A2:B2"/>
    <mergeCell ref="C2:E2"/>
    <mergeCell ref="F2:G2"/>
  </mergeCells>
  <hyperlinks>
    <hyperlink ref="C36" r:id="rId1" xr:uid="{1E65579A-4774-4A44-99E7-A8ED234B5B41}"/>
    <hyperlink ref="C8" r:id="rId2" xr:uid="{B35BC7B6-43EB-45BA-B6FC-D113BD575A7C}"/>
    <hyperlink ref="C10" r:id="rId3" xr:uid="{6B6E1BB0-80FA-4A1B-B574-A6E9032FB3E7}"/>
    <hyperlink ref="C15" r:id="rId4" xr:uid="{CD454B89-DCB8-448E-9994-E957463385BA}"/>
    <hyperlink ref="C12" r:id="rId5" xr:uid="{ACA5F200-9ED0-4335-A88E-4219427F873B}"/>
    <hyperlink ref="C16" r:id="rId6" xr:uid="{F7603E07-7382-4CE3-A458-D04538D97A25}"/>
    <hyperlink ref="C20" r:id="rId7" xr:uid="{2BA27DCF-F047-405D-9FC4-409380DE8CF0}"/>
    <hyperlink ref="C26" r:id="rId8" xr:uid="{79BA36BC-E7E7-4C0A-A618-272F70F8A5C3}"/>
    <hyperlink ref="C32" r:id="rId9" xr:uid="{60F0607C-D2A2-46F3-A587-5C46BC1BB158}"/>
    <hyperlink ref="C33" r:id="rId10" xr:uid="{1C135191-E5C8-4758-9C93-BA1228387B09}"/>
    <hyperlink ref="C34" r:id="rId11" xr:uid="{5291BBF0-066D-4603-BC2F-FB7D39DD4897}"/>
    <hyperlink ref="C35" r:id="rId12" xr:uid="{A099B16A-D27E-477B-A11F-D62C6467C89D}"/>
    <hyperlink ref="C29" r:id="rId13" xr:uid="{CF9D6836-28E8-46D8-88F5-CCB0D727D7DC}"/>
    <hyperlink ref="C18" r:id="rId14" xr:uid="{7EC76B24-A085-4B84-B92C-476FE494025E}"/>
    <hyperlink ref="C19" r:id="rId15" xr:uid="{8A84F2B1-716B-4C37-8854-6B2115037C8F}"/>
    <hyperlink ref="C17" r:id="rId16" xr:uid="{6CEB0F6B-01B5-4321-BD93-6D8CF973A74F}"/>
    <hyperlink ref="C22" r:id="rId17" xr:uid="{D34C72E0-2FAF-47E1-A7A2-8A6FA63F0652}"/>
    <hyperlink ref="C23" r:id="rId18" xr:uid="{32320C5B-82C4-4FC8-842B-799FC11FA21B}"/>
    <hyperlink ref="C27" r:id="rId19" xr:uid="{7EFEA9EA-3DBE-4730-A8D1-D6F96960D2AA}"/>
    <hyperlink ref="C28" r:id="rId20" xr:uid="{C1957CAE-602C-4A6A-9CE9-B903907E28E5}"/>
    <hyperlink ref="C38" r:id="rId21" xr:uid="{26BB5F00-1D5C-43B3-8AF2-EDDA10E10F4E}"/>
    <hyperlink ref="C39" r:id="rId22" xr:uid="{AD175A15-D440-40D4-AB1B-48A4B171F90C}"/>
    <hyperlink ref="C37" r:id="rId23" xr:uid="{0CF638C7-1CE9-44C7-866C-99580EEDECD0}"/>
    <hyperlink ref="C44" r:id="rId24" xr:uid="{BA3D60A8-37E5-45A4-84F2-10939C141100}"/>
    <hyperlink ref="C45" r:id="rId25" xr:uid="{8D7BAD3A-F905-4B82-83ED-E34A0A447C35}"/>
    <hyperlink ref="C59" r:id="rId26" xr:uid="{296C8E1F-2701-488C-869D-9C1427F94F63}"/>
    <hyperlink ref="C60" r:id="rId27" xr:uid="{F981E58C-FC25-4A29-B56C-3F185B918E3D}"/>
    <hyperlink ref="C61" r:id="rId28" xr:uid="{0EE953A1-5D01-4A37-8798-B18AF48A9E35}"/>
    <hyperlink ref="C41" r:id="rId29" xr:uid="{2A923895-F1FD-42EB-A2E5-4158B4942F77}"/>
    <hyperlink ref="C73" r:id="rId30" xr:uid="{5A51DFD6-89FA-4E7D-8FB1-8D6123E60AF5}"/>
    <hyperlink ref="C88" r:id="rId31" xr:uid="{03B5AC11-4B2D-4DC1-A86F-E03900BA5275}"/>
    <hyperlink ref="C86" r:id="rId32" xr:uid="{442129EF-6ADB-415E-9B72-513E58E68EE4}"/>
    <hyperlink ref="C87" r:id="rId33" xr:uid="{487233CE-F1FF-41EC-8EB7-FE2EF13D9984}"/>
    <hyperlink ref="C40" r:id="rId34" xr:uid="{B5ED8F38-C80B-4A00-B65B-6C9D0642057D}"/>
    <hyperlink ref="C42" r:id="rId35" xr:uid="{A7E88628-79CC-4402-90F2-B317769546F8}"/>
    <hyperlink ref="C46" r:id="rId36" xr:uid="{32828794-DB9B-4879-8046-DDE0A087E370}"/>
    <hyperlink ref="C47" r:id="rId37" xr:uid="{6641D3A2-28CF-43AA-8295-09AFDBA227A0}"/>
    <hyperlink ref="C50" r:id="rId38" xr:uid="{D1379C5F-E8A9-4406-808A-1FA5C2CD8837}"/>
    <hyperlink ref="C52" r:id="rId39" xr:uid="{E9EE75F7-9044-4070-8175-D36D4CE2CAC4}"/>
    <hyperlink ref="C53" r:id="rId40" xr:uid="{C688C06B-5C43-4410-9120-0C0E873CFC1D}"/>
    <hyperlink ref="C54" r:id="rId41" xr:uid="{5F1F7C63-A133-43A5-9427-52EAFE09337F}"/>
    <hyperlink ref="C55" r:id="rId42" xr:uid="{FD81FD8C-0276-4229-92B3-75D437552860}"/>
    <hyperlink ref="C49" r:id="rId43" xr:uid="{AF57D897-B180-434E-B741-1D246D84028C}"/>
    <hyperlink ref="C51" r:id="rId44" xr:uid="{BBF974A2-8223-4D60-83A2-2E975AF1FE5D}"/>
    <hyperlink ref="C56" r:id="rId45" xr:uid="{9814F3FC-EFD2-4524-8B1F-20A47BF4D9C6}"/>
    <hyperlink ref="C57" r:id="rId46" xr:uid="{C2665BB5-677B-4A90-8945-2B8DE07CFBAB}"/>
    <hyperlink ref="C58" r:id="rId47" xr:uid="{5CC65AF6-C57A-49E1-A06B-3C02DE28CD85}"/>
    <hyperlink ref="C80" r:id="rId48" xr:uid="{761F333F-8784-4491-9C29-925942B5D4BE}"/>
    <hyperlink ref="C74" r:id="rId49" xr:uid="{D4469C34-918B-481D-8CB3-4FEDE10585A7}"/>
    <hyperlink ref="C84" r:id="rId50" xr:uid="{5365F0A5-677F-4091-B194-37105D186F73}"/>
    <hyperlink ref="C85" r:id="rId51" xr:uid="{63D7D624-F398-461E-9375-2C1115FB8D67}"/>
    <hyperlink ref="C79" r:id="rId52" xr:uid="{4A57B584-F71B-45D7-9A0C-2E8A3DC7E44C}"/>
    <hyperlink ref="C82" r:id="rId53" xr:uid="{DDA47B39-68CD-469C-8869-F91579DB59F9}"/>
    <hyperlink ref="C66" r:id="rId54" xr:uid="{C15E55AB-D486-4360-9A9D-B5EFBAEC351E}"/>
    <hyperlink ref="C67" r:id="rId55" xr:uid="{C530B87F-8914-45AF-B3E5-5BBB8A4DC173}"/>
    <hyperlink ref="C68" r:id="rId56" xr:uid="{C99EBA8E-3D49-46D2-AD91-F141F4F82BD8}"/>
    <hyperlink ref="C69" r:id="rId57" xr:uid="{24A2AAC2-1FEF-4ED1-92F6-9A2B06195AFA}"/>
    <hyperlink ref="C72" r:id="rId58" xr:uid="{FD1028B5-6346-4AC3-BAF9-7ED56862AF02}"/>
    <hyperlink ref="C81" r:id="rId59" xr:uid="{1BB687BC-0F2B-4A8F-A2B3-22AC4F4CD314}"/>
    <hyperlink ref="C65" r:id="rId60" xr:uid="{33600B23-8630-4AFB-B461-8A82C5C0DB59}"/>
  </hyperlinks>
  <printOptions horizontalCentered="1" verticalCentered="1"/>
  <pageMargins left="0.7" right="0.7" top="0.75" bottom="0.75" header="0.3" footer="0.3"/>
  <pageSetup paperSize="8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B957-55E1-4296-91A3-55E311CC2F4D}">
  <dimension ref="E9:G9"/>
  <sheetViews>
    <sheetView workbookViewId="0">
      <selection activeCell="G10" sqref="G10"/>
    </sheetView>
  </sheetViews>
  <sheetFormatPr defaultRowHeight="15"/>
  <sheetData>
    <row r="9" spans="5:7">
      <c r="E9">
        <v>4.8</v>
      </c>
      <c r="F9">
        <v>2.7</v>
      </c>
      <c r="G9">
        <f>E9*F9</f>
        <v>12.96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C2C8-9C14-42D8-AD96-0781368D531A}">
  <dimension ref="E7:K15"/>
  <sheetViews>
    <sheetView topLeftCell="A4" workbookViewId="0">
      <selection activeCell="F8" sqref="F8:F15"/>
    </sheetView>
  </sheetViews>
  <sheetFormatPr defaultRowHeight="15"/>
  <cols>
    <col min="1" max="5" width="9.140625" style="7"/>
    <col min="6" max="6" width="32.5703125" style="7" customWidth="1"/>
    <col min="7" max="7" width="17.7109375" style="7" customWidth="1"/>
    <col min="8" max="8" width="72.7109375" style="7" customWidth="1"/>
    <col min="9" max="9" width="55.140625" style="7" customWidth="1"/>
    <col min="10" max="10" width="24.7109375" style="7" customWidth="1"/>
    <col min="11" max="11" width="19" style="7" customWidth="1"/>
    <col min="12" max="16384" width="9.140625" style="7"/>
  </cols>
  <sheetData>
    <row r="7" spans="5:11" s="13" customFormat="1" ht="48" customHeight="1">
      <c r="E7" s="14" t="s">
        <v>201</v>
      </c>
      <c r="F7" s="14" t="s">
        <v>202</v>
      </c>
      <c r="G7" s="14" t="s">
        <v>203</v>
      </c>
      <c r="H7" s="14" t="s">
        <v>204</v>
      </c>
      <c r="I7" s="14" t="s">
        <v>205</v>
      </c>
      <c r="J7" s="14" t="s">
        <v>206</v>
      </c>
      <c r="K7" s="14" t="s">
        <v>207</v>
      </c>
    </row>
    <row r="8" spans="5:11" s="8" customFormat="1" ht="50.25" customHeight="1">
      <c r="E8" s="9">
        <v>1</v>
      </c>
      <c r="F8" s="17" t="s">
        <v>38</v>
      </c>
      <c r="G8" s="9" t="s">
        <v>39</v>
      </c>
      <c r="H8" s="10" t="s">
        <v>208</v>
      </c>
      <c r="I8" s="11" t="s">
        <v>40</v>
      </c>
      <c r="J8" s="16" t="s">
        <v>209</v>
      </c>
      <c r="K8" s="15" t="s">
        <v>210</v>
      </c>
    </row>
    <row r="9" spans="5:11" s="8" customFormat="1" ht="50.25" customHeight="1">
      <c r="E9" s="9">
        <v>2</v>
      </c>
      <c r="F9" s="18" t="s">
        <v>188</v>
      </c>
      <c r="G9" s="9" t="s">
        <v>186</v>
      </c>
      <c r="H9" s="10" t="s">
        <v>211</v>
      </c>
      <c r="I9" s="12" t="s">
        <v>190</v>
      </c>
      <c r="J9" s="16" t="s">
        <v>209</v>
      </c>
      <c r="K9" s="15" t="s">
        <v>210</v>
      </c>
    </row>
    <row r="10" spans="5:11" s="8" customFormat="1" ht="50.25" customHeight="1">
      <c r="E10" s="9">
        <v>3</v>
      </c>
      <c r="F10" s="18" t="s">
        <v>108</v>
      </c>
      <c r="G10" s="9" t="s">
        <v>109</v>
      </c>
      <c r="H10" s="10" t="s">
        <v>212</v>
      </c>
      <c r="I10" s="11" t="s">
        <v>213</v>
      </c>
      <c r="J10" s="16" t="s">
        <v>209</v>
      </c>
      <c r="K10" s="15" t="s">
        <v>210</v>
      </c>
    </row>
    <row r="11" spans="5:11" s="8" customFormat="1" ht="50.25" customHeight="1">
      <c r="E11" s="9">
        <v>4</v>
      </c>
      <c r="F11" s="18" t="s">
        <v>185</v>
      </c>
      <c r="G11" s="9" t="s">
        <v>189</v>
      </c>
      <c r="H11" s="10" t="s">
        <v>214</v>
      </c>
      <c r="I11" s="12" t="s">
        <v>187</v>
      </c>
      <c r="J11" s="16" t="s">
        <v>209</v>
      </c>
      <c r="K11" s="15" t="s">
        <v>210</v>
      </c>
    </row>
    <row r="12" spans="5:11" s="8" customFormat="1" ht="50.25" customHeight="1">
      <c r="E12" s="9">
        <v>5</v>
      </c>
      <c r="F12" s="18" t="s">
        <v>215</v>
      </c>
      <c r="G12" s="9"/>
      <c r="H12" s="10" t="s">
        <v>216</v>
      </c>
      <c r="I12" s="11" t="s">
        <v>99</v>
      </c>
      <c r="J12" s="16" t="s">
        <v>217</v>
      </c>
      <c r="K12" s="15" t="s">
        <v>210</v>
      </c>
    </row>
    <row r="13" spans="5:11" s="8" customFormat="1" ht="50.25" customHeight="1">
      <c r="E13" s="9">
        <v>6</v>
      </c>
      <c r="F13" s="17" t="s">
        <v>97</v>
      </c>
      <c r="G13" s="9"/>
      <c r="H13" s="10" t="s">
        <v>218</v>
      </c>
      <c r="I13" s="11" t="s">
        <v>99</v>
      </c>
      <c r="J13" s="16" t="s">
        <v>209</v>
      </c>
      <c r="K13" s="15" t="s">
        <v>210</v>
      </c>
    </row>
    <row r="14" spans="5:11" s="8" customFormat="1" ht="50.25" customHeight="1">
      <c r="E14" s="9">
        <v>7</v>
      </c>
      <c r="F14" s="17" t="s">
        <v>105</v>
      </c>
      <c r="G14" s="9" t="s">
        <v>106</v>
      </c>
      <c r="H14" s="10" t="s">
        <v>219</v>
      </c>
      <c r="I14" s="11" t="s">
        <v>107</v>
      </c>
      <c r="J14" s="16" t="s">
        <v>209</v>
      </c>
      <c r="K14" s="15" t="s">
        <v>210</v>
      </c>
    </row>
    <row r="15" spans="5:11" s="8" customFormat="1" ht="50.25" customHeight="1">
      <c r="E15" s="9">
        <v>8</v>
      </c>
      <c r="F15" s="17" t="s">
        <v>114</v>
      </c>
      <c r="G15" s="9" t="s">
        <v>115</v>
      </c>
      <c r="H15" s="10" t="s">
        <v>220</v>
      </c>
      <c r="I15" s="11" t="s">
        <v>99</v>
      </c>
      <c r="J15" s="16" t="s">
        <v>209</v>
      </c>
      <c r="K15" s="15" t="s">
        <v>210</v>
      </c>
    </row>
  </sheetData>
  <hyperlinks>
    <hyperlink ref="H8" r:id="rId1" xr:uid="{86EA625E-96F6-4523-9447-91EACC84A306}"/>
    <hyperlink ref="H9" r:id="rId2" xr:uid="{C7BE2908-AE13-4307-AB6A-0D7AB3152436}"/>
    <hyperlink ref="H11" r:id="rId3" xr:uid="{6E47026D-60EC-494F-95C7-C13FA044AB16}"/>
    <hyperlink ref="H12" r:id="rId4" xr:uid="{AF027542-926F-4C52-AEFE-249FEA2F971A}"/>
    <hyperlink ref="H13" r:id="rId5" xr:uid="{847F57E8-9969-4268-AB3E-2E9EA8541121}"/>
    <hyperlink ref="H14" r:id="rId6" xr:uid="{71819D28-2808-4167-8E5F-EA00B99844CE}"/>
    <hyperlink ref="H15" r:id="rId7" xr:uid="{8A35BDA4-9BD7-4AA5-848B-49FC10A6D5FC}"/>
    <hyperlink ref="H10" r:id="rId8" xr:uid="{2332C1E1-9E86-4966-A04B-404F4CF905C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7918D85F4554AA36AFBD5655BBF46" ma:contentTypeVersion="9" ma:contentTypeDescription="Create a new document." ma:contentTypeScope="" ma:versionID="4332efda7e6c3132ad1e6ceb847e8b3a">
  <xsd:schema xmlns:xsd="http://www.w3.org/2001/XMLSchema" xmlns:xs="http://www.w3.org/2001/XMLSchema" xmlns:p="http://schemas.microsoft.com/office/2006/metadata/properties" xmlns:ns2="d4268b63-1877-449a-b85c-a197e21f90e0" targetNamespace="http://schemas.microsoft.com/office/2006/metadata/properties" ma:root="true" ma:fieldsID="e1f8d889a942665819c89ebba5ca36eb" ns2:_="">
    <xsd:import namespace="d4268b63-1877-449a-b85c-a197e21f9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268b63-1877-449a-b85c-a197e21f90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1bbe544-5687-4dab-aa75-fc03ecb5c9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268b63-1877-449a-b85c-a197e21f90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D7D51F-F3FD-424F-8F63-98C6B7D2DB18}"/>
</file>

<file path=customXml/itemProps2.xml><?xml version="1.0" encoding="utf-8"?>
<ds:datastoreItem xmlns:ds="http://schemas.openxmlformats.org/officeDocument/2006/customXml" ds:itemID="{5F06C376-09A8-4CA8-997C-C3E1C7A99588}"/>
</file>

<file path=customXml/itemProps3.xml><?xml version="1.0" encoding="utf-8"?>
<ds:datastoreItem xmlns:ds="http://schemas.openxmlformats.org/officeDocument/2006/customXml" ds:itemID="{0992FBAA-5151-40C6-8069-4B21B09A3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GRV</cp:lastModifiedBy>
  <cp:revision/>
  <dcterms:created xsi:type="dcterms:W3CDTF">2025-08-30T09:00:31Z</dcterms:created>
  <dcterms:modified xsi:type="dcterms:W3CDTF">2025-09-24T08:23:10Z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0x0101002597918D85F4554AA36AFBD5655BBF46</vt:lpwstr>
  </property>
  <property fmtid="{D5CDD505-2E9C-101B-9397-08002B2CF9AE}" pid="3" name="MediaServiceImageTags">
    <vt:lpwstr/>
  </property>
</Properties>
</file>