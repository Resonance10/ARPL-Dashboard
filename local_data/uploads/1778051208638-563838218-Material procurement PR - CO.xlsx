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UMMARY " sheetId="3" r:id="rId1"/>
    <sheet name="10 KW  75M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<sst xmlns="http://schemas.openxmlformats.org/spreadsheetml/2006/main" count="558" uniqueCount="221">
  <si>
    <t>March - 2026 Plan VS Actuals</t>
  </si>
  <si>
    <t xml:space="preserve">Model </t>
  </si>
  <si>
    <t>Opening Stock Value</t>
  </si>
  <si>
    <t>Planned Qty</t>
  </si>
  <si>
    <t>Customer Dispatched QTY</t>
  </si>
  <si>
    <t>Production BOM cost (LME Q3)</t>
  </si>
  <si>
    <t>Production BOM cost (LME Q4)</t>
  </si>
  <si>
    <t>Motor BOM RM Cost   Proto (LME Q4)</t>
  </si>
  <si>
    <t>Diff (Q4)</t>
  </si>
  <si>
    <t>Diff (Q3)</t>
  </si>
  <si>
    <t xml:space="preserve">PR Value </t>
  </si>
  <si>
    <t xml:space="preserve">Customer  Selling Price </t>
  </si>
  <si>
    <t>Customer Selling Value</t>
  </si>
  <si>
    <t xml:space="preserve">ML2A05B_51V 10KW </t>
  </si>
  <si>
    <t xml:space="preserve">Material Procurement Stock deatils </t>
  </si>
  <si>
    <t>PROJECT CODE / PART NO :ML2A05B_51V01</t>
  </si>
  <si>
    <t>Customer Name:  Virya Electric Powertrains</t>
  </si>
  <si>
    <t>production schedule :April  26</t>
  </si>
  <si>
    <t>PROJECT GROUP: 10 KW PMSM - TRIKON</t>
  </si>
  <si>
    <t>Customer Part No:</t>
  </si>
  <si>
    <t>Plan Qty</t>
  </si>
  <si>
    <t>DATE:09.01.2026</t>
  </si>
  <si>
    <t>Date:</t>
  </si>
  <si>
    <t>REVISION :B</t>
  </si>
  <si>
    <t xml:space="preserve">Revision </t>
  </si>
  <si>
    <t>SL.No.</t>
  </si>
  <si>
    <t xml:space="preserve"> PART NO</t>
  </si>
  <si>
    <t xml:space="preserve">DRG. DESCRIPTION </t>
  </si>
  <si>
    <t>REV</t>
  </si>
  <si>
    <t>MAKE CLASS</t>
  </si>
  <si>
    <t xml:space="preserve">MATERIAL SPECIFICATION </t>
  </si>
  <si>
    <t>QTY</t>
  </si>
  <si>
    <t>UOM</t>
  </si>
  <si>
    <t xml:space="preserve">SUPPLIER NAME </t>
  </si>
  <si>
    <t>L / O / IMP</t>
  </si>
  <si>
    <t xml:space="preserve"> Required Qty</t>
  </si>
  <si>
    <t xml:space="preserve">Opeing Stock </t>
  </si>
  <si>
    <t>Total Qty Coverage</t>
  </si>
  <si>
    <t>Shortage Qty</t>
  </si>
  <si>
    <t>Part Price</t>
  </si>
  <si>
    <t>Total Part Price</t>
  </si>
  <si>
    <t xml:space="preserve">Total Cost </t>
  </si>
  <si>
    <t>MOQ</t>
  </si>
  <si>
    <t xml:space="preserve">Lead Time </t>
  </si>
  <si>
    <t>REMARK</t>
  </si>
  <si>
    <t>AR011013</t>
  </si>
  <si>
    <t>FRONT ENDBELL-ML-80</t>
  </si>
  <si>
    <t>C</t>
  </si>
  <si>
    <t xml:space="preserve">A- CLASS </t>
  </si>
  <si>
    <t xml:space="preserve">ADC 12/ LM25 </t>
  </si>
  <si>
    <t>No's</t>
  </si>
  <si>
    <t>Arun Engg</t>
  </si>
  <si>
    <t>O</t>
  </si>
  <si>
    <t xml:space="preserve">4 weeks </t>
  </si>
  <si>
    <t>AR010955</t>
  </si>
  <si>
    <t>REAR ENDBELL-ML-110</t>
  </si>
  <si>
    <t>G</t>
  </si>
  <si>
    <t>ADG Automation</t>
  </si>
  <si>
    <t>AR010714</t>
  </si>
  <si>
    <t>ROTOR END PLATE-ML-100</t>
  </si>
  <si>
    <t>B</t>
  </si>
  <si>
    <t>Omega Industries</t>
  </si>
  <si>
    <t>L</t>
  </si>
  <si>
    <t>AR010862</t>
  </si>
  <si>
    <t>SENSOR  COVER</t>
  </si>
  <si>
    <t>PBT GF30%</t>
  </si>
  <si>
    <t xml:space="preserve">Sri Balaji Assemblies &amp; Plastics Pvt Ltd 
</t>
  </si>
  <si>
    <t>AR010897</t>
  </si>
  <si>
    <t xml:space="preserve">TERMINAL COVER </t>
  </si>
  <si>
    <t>PA66 GF 30%</t>
  </si>
  <si>
    <t>AR011085</t>
  </si>
  <si>
    <t>PHASE CABLE  HOLDER</t>
  </si>
  <si>
    <t>A</t>
  </si>
  <si>
    <t>AR011077</t>
  </si>
  <si>
    <t>LUG HOLDER ASSEMBLY</t>
  </si>
  <si>
    <t>AR020256</t>
  </si>
  <si>
    <t>ENDBELL O RING</t>
  </si>
  <si>
    <t>EPDM</t>
  </si>
  <si>
    <t>Rekha Rubber Products</t>
  </si>
  <si>
    <t>AR010902</t>
  </si>
  <si>
    <t xml:space="preserve">SENSOR COVER  O RING </t>
  </si>
  <si>
    <t>NBR</t>
  </si>
  <si>
    <t>AR010900</t>
  </si>
  <si>
    <t>LUG HOLDER O RING</t>
  </si>
  <si>
    <t>AR010928</t>
  </si>
  <si>
    <t>BEARING O RING  2.0</t>
  </si>
  <si>
    <t>AR010896</t>
  </si>
  <si>
    <t>PHASE CABLE GROMMET</t>
  </si>
  <si>
    <t>AR011041</t>
  </si>
  <si>
    <t>STATOR CORE_ML-75</t>
  </si>
  <si>
    <t>35C300</t>
  </si>
  <si>
    <t>Pressmatic Engineers India Private Limited/MFG</t>
  </si>
  <si>
    <t>AR010707</t>
  </si>
  <si>
    <t>ROTOR STACK_20.3</t>
  </si>
  <si>
    <t>D</t>
  </si>
  <si>
    <t>AR011016</t>
  </si>
  <si>
    <t>ROTOR STACK_15.3</t>
  </si>
  <si>
    <t>AR011040</t>
  </si>
  <si>
    <t>ROTOR SHAFT_ML-80</t>
  </si>
  <si>
    <t>16MnCr5</t>
  </si>
  <si>
    <t xml:space="preserve">SAA AB Engineering Pvt Ltd </t>
  </si>
  <si>
    <t>AR010934</t>
  </si>
  <si>
    <t>HARNESS ASSEMBLY_TEMP SENSOR</t>
  </si>
  <si>
    <t>PT100</t>
  </si>
  <si>
    <t>Sowparnika Thermistors and Hybrids Pvt. Ltd.</t>
  </si>
  <si>
    <t>AR010935</t>
  </si>
  <si>
    <t xml:space="preserve">HARNESS ASSEMBLY_SENSOR CABLE </t>
  </si>
  <si>
    <t>TPE</t>
  </si>
  <si>
    <t>Advance Cable Technologies</t>
  </si>
  <si>
    <t>HARNESS ASSEMBLY_PCB</t>
  </si>
  <si>
    <t xml:space="preserve">PCB ASSY </t>
  </si>
  <si>
    <t xml:space="preserve">S3 Elecronics </t>
  </si>
  <si>
    <t>AR010925</t>
  </si>
  <si>
    <t>BEARING RETAINER PLATE</t>
  </si>
  <si>
    <t>Steel 45</t>
  </si>
  <si>
    <t xml:space="preserve">Omega Industries/ Sri Balaji Assemblies &amp; Plastics Pvt Ltd </t>
  </si>
  <si>
    <t>AR010929</t>
  </si>
  <si>
    <t>CONNECTOR CLAMP</t>
  </si>
  <si>
    <t>Steel 1020</t>
  </si>
  <si>
    <t>AR020001</t>
  </si>
  <si>
    <t>COPPER WIRE_SWG 22</t>
  </si>
  <si>
    <t xml:space="preserve">B- CLASS </t>
  </si>
  <si>
    <t>Catalogue product</t>
  </si>
  <si>
    <t>Kg</t>
  </si>
  <si>
    <t xml:space="preserve">Precision Wires India Ltd </t>
  </si>
  <si>
    <t>AR010986</t>
  </si>
  <si>
    <t>MAGNET 6.04 X 8.04 X 20.04mm</t>
  </si>
  <si>
    <t>N40SH-HR FREE</t>
  </si>
  <si>
    <t>Shenzhen TOPMAG Technology Co.,Ltd</t>
  </si>
  <si>
    <t>IMP</t>
  </si>
  <si>
    <t xml:space="preserve">8 weeks </t>
  </si>
  <si>
    <t>AR010987</t>
  </si>
  <si>
    <t>MAGNET 6.04 X 8.04 X 15.04mm</t>
  </si>
  <si>
    <t>AR060044</t>
  </si>
  <si>
    <t>STATOR WINDING</t>
  </si>
  <si>
    <t xml:space="preserve">ASSY </t>
  </si>
  <si>
    <t>AR020360</t>
  </si>
  <si>
    <t>SLOT INSULATION_70</t>
  </si>
  <si>
    <t xml:space="preserve">Ganapathy Industires /Polycom </t>
  </si>
  <si>
    <t>AR020362</t>
  </si>
  <si>
    <t>SLOT FRONT INSULATION_70</t>
  </si>
  <si>
    <t>AR020004</t>
  </si>
  <si>
    <t>LACING CORD-D1</t>
  </si>
  <si>
    <t>m</t>
  </si>
  <si>
    <t xml:space="preserve">Mariya Enterprice </t>
  </si>
  <si>
    <t>AR011074</t>
  </si>
  <si>
    <t>OPEN BARREL BENT LUG _ 25 X 8.2</t>
  </si>
  <si>
    <t xml:space="preserve">SJ Mateal </t>
  </si>
  <si>
    <t>AR020326</t>
  </si>
  <si>
    <t>VARNISH</t>
  </si>
  <si>
    <t xml:space="preserve">Chetak Manufacturing </t>
  </si>
  <si>
    <t>AR020351</t>
  </si>
  <si>
    <t>INSULATION SLEEVE ⌀10 X 30</t>
  </si>
  <si>
    <t>Yashini Raja</t>
  </si>
  <si>
    <t>AR020368</t>
  </si>
  <si>
    <t>CLYINDERICAL LUG 9 x 4.4</t>
  </si>
  <si>
    <t>Supreme Trading Co.</t>
  </si>
  <si>
    <t>AR020327</t>
  </si>
  <si>
    <t>2 PIN MALE CONNECTOR(CT01&amp;CT02)</t>
  </si>
  <si>
    <t xml:space="preserve">
APJ SGM Technologies Pvt Ltd </t>
  </si>
  <si>
    <t>AR020006</t>
  </si>
  <si>
    <t>LOCK WASHER MB6</t>
  </si>
  <si>
    <t>Sri Sai Engineering and Enterprises</t>
  </si>
  <si>
    <t>AR020295</t>
  </si>
  <si>
    <t>LOCK NUT M30 X 1.5 X 7</t>
  </si>
  <si>
    <t>AR020354</t>
  </si>
  <si>
    <t>BEARING SKF 6206-2Z/C3 GWF</t>
  </si>
  <si>
    <t xml:space="preserve">SKF Engineering </t>
  </si>
  <si>
    <t>AR020305</t>
  </si>
  <si>
    <t>BEARING SKF 6005-2Z/C3 GWF</t>
  </si>
  <si>
    <t>AR010352</t>
  </si>
  <si>
    <t>WAVE WASHER_6206</t>
  </si>
  <si>
    <t>AR020375</t>
  </si>
  <si>
    <t>SELF CLINCHING NUTS M8 X 1.25</t>
  </si>
  <si>
    <t>AR020249</t>
  </si>
  <si>
    <t xml:space="preserve">ENCODER ACTUATOR </t>
  </si>
  <si>
    <t xml:space="preserve">Renishaw </t>
  </si>
  <si>
    <t>AR020240</t>
  </si>
  <si>
    <t>RADIAL SEAL 30 X 47 X 7</t>
  </si>
  <si>
    <t>SKF Engineering and Lubrication India Private Limited,</t>
  </si>
  <si>
    <t xml:space="preserve">8weeks </t>
  </si>
  <si>
    <t>AR020021</t>
  </si>
  <si>
    <t>BREATHER PLUG</t>
  </si>
  <si>
    <t>Milt/ SGM</t>
  </si>
  <si>
    <t>AR020171</t>
  </si>
  <si>
    <t>FLANGE HEAD BOLT M5 X 0.8 X 20</t>
  </si>
  <si>
    <t>AR020377</t>
  </si>
  <si>
    <t>FLANGE HEAD BOLT M5 X 0.8 X 16</t>
  </si>
  <si>
    <t>AR020372</t>
  </si>
  <si>
    <t>FLANGE HEAD BOLT M5 X 0.8 X 12</t>
  </si>
  <si>
    <t>AR020386</t>
  </si>
  <si>
    <t>HEX HEAD BOLT M8 X 1.25 X 16</t>
  </si>
  <si>
    <t>AR020378</t>
  </si>
  <si>
    <t>ALLEN HEAD BOLT M8 X 1.25 X 16</t>
  </si>
  <si>
    <t>AR020373</t>
  </si>
  <si>
    <t xml:space="preserve">SERRATED WEDGE WASHER  </t>
  </si>
  <si>
    <t>AR020358</t>
  </si>
  <si>
    <t>SPRING LOCK WASHER 8</t>
  </si>
  <si>
    <t>AR020357</t>
  </si>
  <si>
    <t>PLAIN WASHER 8.4</t>
  </si>
  <si>
    <t>AR020379</t>
  </si>
  <si>
    <t>ALLEN HEAD BOLT M6 X 1 X 12</t>
  </si>
  <si>
    <t>AR020340</t>
  </si>
  <si>
    <t>BHCS M4 X 0.7 X 10 -SEMS</t>
  </si>
  <si>
    <t>AR020337</t>
  </si>
  <si>
    <t>DOWEL PIN 3 m6 X 8</t>
  </si>
  <si>
    <t>AR020243</t>
  </si>
  <si>
    <t>PUSH MOUNT CABLE TIES</t>
  </si>
  <si>
    <t>Supreme Trading Co.,</t>
  </si>
  <si>
    <t>AR020380</t>
  </si>
  <si>
    <t xml:space="preserve">WIRE SADDLE </t>
  </si>
  <si>
    <t xml:space="preserve">Essentra Pvt Ltd </t>
  </si>
  <si>
    <t>AR020385</t>
  </si>
  <si>
    <t>PUSH MOUNT CABLE TIES_1.6</t>
  </si>
  <si>
    <t>AR020383</t>
  </si>
  <si>
    <t>LOCTITE 243</t>
  </si>
  <si>
    <t>ml</t>
  </si>
  <si>
    <t>Raghavendra Chemicals</t>
  </si>
  <si>
    <t>PREPARED BY:YRR</t>
  </si>
  <si>
    <t>CHECKED BY:KMN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</si>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</sst>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 "/>
    <numFmt numFmtId="181" formatCode="0.0_ "/>
    <numFmt numFmtId="182" formatCode="0.00_ "/>
    <numFmt numFmtId="183" formatCode="mmm/yy"/>
  </numFmts>
  <fonts count="33">
    <font>
      <sz val="11"/>
      <color theme="1"/>
      <name val="Aptos Narrow"/>
      <charset val="134"/>
      <scheme val="minor"/>
    </font>
    <font>
      <b/>
      <sz val="26"/>
      <color theme="1"/>
      <name val="Calibri"/>
      <charset val="134"/>
    </font>
    <font>
      <b/>
      <sz val="12"/>
      <color theme="1"/>
      <name val="Cambria"/>
      <charset val="134"/>
    </font>
    <font>
      <b/>
      <sz val="12"/>
      <color rgb="FF000000"/>
      <name val="Cambria"/>
      <charset val="134"/>
    </font>
    <font>
      <b/>
      <i/>
      <sz val="12"/>
      <color theme="1"/>
      <name val="Cambria"/>
      <charset val="134"/>
    </font>
    <font>
      <b/>
      <sz val="14"/>
      <color theme="1"/>
      <name val="Calibri"/>
      <charset val="134"/>
    </font>
    <font>
      <sz val="12"/>
      <color theme="1"/>
      <name val="Calibri"/>
      <charset val="134"/>
    </font>
    <font>
      <u/>
      <sz val="11"/>
      <color theme="10"/>
      <name val="Aptos Narrow"/>
      <charset val="134"/>
      <scheme val="minor"/>
    </font>
    <font>
      <sz val="12"/>
      <color rgb="FF000000"/>
      <name val="Calibri"/>
      <charset val="134"/>
    </font>
    <font>
      <u/>
      <sz val="11"/>
      <color rgb="FF800080"/>
      <name val="Aptos Narrow"/>
      <charset val="134"/>
      <scheme val="minor"/>
    </font>
    <font>
      <sz val="10"/>
      <color rgb="FF000000"/>
      <name val="Rockwell"/>
      <charset val="134"/>
    </font>
    <font>
      <sz val="11"/>
      <color theme="1"/>
      <name val="Calibri"/>
      <charset val="134"/>
    </font>
    <font>
      <b/>
      <sz val="12"/>
      <color rgb="FF000000"/>
      <name val="Calibri"/>
      <charset val="134"/>
    </font>
    <font>
      <i/>
      <sz val="11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7" applyNumberFormat="0" applyAlignment="0" applyProtection="0">
      <alignment vertical="center"/>
    </xf>
    <xf numFmtId="0" fontId="23" fillId="9" borderId="28" applyNumberFormat="0" applyAlignment="0" applyProtection="0">
      <alignment vertical="center"/>
    </xf>
    <xf numFmtId="0" fontId="24" fillId="9" borderId="27" applyNumberFormat="0" applyAlignment="0" applyProtection="0">
      <alignment vertical="center"/>
    </xf>
    <xf numFmtId="0" fontId="25" fillId="10" borderId="29" applyNumberFormat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7" fillId="0" borderId="6" xfId="6" applyFill="1" applyBorder="1" applyAlignment="1">
      <alignment horizontal="center"/>
    </xf>
    <xf numFmtId="0" fontId="8" fillId="0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8" fillId="0" borderId="16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0" fillId="0" borderId="6" xfId="0" applyBorder="1"/>
    <xf numFmtId="0" fontId="9" fillId="0" borderId="6" xfId="6" applyFont="1" applyFill="1" applyBorder="1" applyAlignment="1">
      <alignment horizontal="center"/>
    </xf>
    <xf numFmtId="0" fontId="8" fillId="4" borderId="18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9" fillId="3" borderId="6" xfId="6" applyFont="1" applyFill="1" applyBorder="1" applyAlignment="1">
      <alignment horizontal="center"/>
    </xf>
    <xf numFmtId="180" fontId="8" fillId="0" borderId="18" xfId="0" applyNumberFormat="1" applyFont="1" applyFill="1" applyBorder="1" applyAlignment="1">
      <alignment horizontal="left" vertical="center"/>
    </xf>
    <xf numFmtId="0" fontId="8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left" vertical="center"/>
    </xf>
    <xf numFmtId="0" fontId="9" fillId="5" borderId="17" xfId="6" applyFont="1" applyFill="1" applyBorder="1" applyAlignment="1">
      <alignment horizontal="center"/>
    </xf>
    <xf numFmtId="0" fontId="6" fillId="0" borderId="7" xfId="0" applyFont="1" applyFill="1" applyBorder="1" applyAlignment="1"/>
    <xf numFmtId="0" fontId="8" fillId="0" borderId="17" xfId="0" applyFont="1" applyBorder="1" applyAlignment="1">
      <alignment horizontal="center" vertical="center"/>
    </xf>
    <xf numFmtId="181" fontId="8" fillId="0" borderId="18" xfId="0" applyNumberFormat="1" applyFont="1" applyFill="1" applyBorder="1" applyAlignment="1">
      <alignment horizontal="left" vertical="center"/>
    </xf>
    <xf numFmtId="182" fontId="8" fillId="0" borderId="18" xfId="0" applyNumberFormat="1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8" fillId="0" borderId="7" xfId="0" applyFont="1" applyFill="1" applyBorder="1" applyAlignment="1">
      <alignment horizontal="left" vertical="center" wrapText="1"/>
    </xf>
    <xf numFmtId="0" fontId="11" fillId="0" borderId="0" xfId="0" applyFont="1"/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6" xfId="6" applyBorder="1" applyAlignment="1">
      <alignment horizontal="center"/>
    </xf>
    <xf numFmtId="0" fontId="0" fillId="0" borderId="17" xfId="0" applyBorder="1" applyAlignment="1">
      <alignment horizontal="center"/>
    </xf>
    <xf numFmtId="0" fontId="7" fillId="0" borderId="19" xfId="6" applyFill="1" applyBorder="1" applyAlignment="1">
      <alignment horizontal="center"/>
    </xf>
    <xf numFmtId="0" fontId="8" fillId="0" borderId="19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181" fontId="8" fillId="0" borderId="6" xfId="0" applyNumberFormat="1" applyFont="1" applyFill="1" applyBorder="1" applyAlignment="1">
      <alignment horizontal="left" vertical="center"/>
    </xf>
    <xf numFmtId="176" fontId="12" fillId="0" borderId="6" xfId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0" fillId="0" borderId="7" xfId="0" applyBorder="1"/>
    <xf numFmtId="0" fontId="11" fillId="0" borderId="0" xfId="0" applyFont="1" applyAlignment="1">
      <alignment horizontal="center" vertical="center"/>
    </xf>
    <xf numFmtId="0" fontId="13" fillId="0" borderId="0" xfId="0" applyFont="1"/>
    <xf numFmtId="183" fontId="14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left" vertical="center" wrapText="1"/>
    </xf>
    <xf numFmtId="181" fontId="0" fillId="0" borderId="6" xfId="0" applyNumberFormat="1" applyBorder="1"/>
    <xf numFmtId="176" fontId="0" fillId="0" borderId="6" xfId="1" applyBorder="1" applyAlignment="1"/>
    <xf numFmtId="176" fontId="0" fillId="0" borderId="6" xfId="0" applyNumberFormat="1" applyBorder="1"/>
    <xf numFmtId="0" fontId="14" fillId="0" borderId="0" xfId="0" applyFont="1"/>
    <xf numFmtId="0" fontId="1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abhinavarizel-my.sharepoint.com/:b:/p/kmn/IQD320GSOdNISZcD5bdga0vrAcdJGghdjOGaBdVRFNmNd1k?e=WjMFao" TargetMode="External"/><Relationship Id="rId8" Type="http://schemas.openxmlformats.org/officeDocument/2006/relationships/hyperlink" Target="https://abhinavarizel-my.sharepoint.com/:b:/p/kmn/IQDsr8huKa02RIkrSjhKHmipAYWZBZ8rP4-v0UcTvjlypUk?e=owfgiB" TargetMode="External"/><Relationship Id="rId7" Type="http://schemas.openxmlformats.org/officeDocument/2006/relationships/hyperlink" Target="https://abhinavarizel-my.sharepoint.com/:b:/p/kmn/IQDeIM5We577SY7ukx4vlRgkAVIOm18ro013lV0BLOnCFw8?e=LMLOkJ" TargetMode="External"/><Relationship Id="rId6" Type="http://schemas.openxmlformats.org/officeDocument/2006/relationships/hyperlink" Target="https://abhinavarizel-my.sharepoint.com/:b:/p/kmn/IQDaKNE53BwiQb0-q8vaxqE6AUp5YuFQf3RhuU5PXxbajCE?e=N5KMJs" TargetMode="External"/><Relationship Id="rId57" Type="http://schemas.openxmlformats.org/officeDocument/2006/relationships/hyperlink" Target="https://abhinavarizel-my.sharepoint.com/:b:/p/kmn/IQC5_eko5jxoTJgsrGBhfpx5AXdr2yF_pYepaGUL-eOxGuw?e=pCIH7j" TargetMode="External"/><Relationship Id="rId56" Type="http://schemas.openxmlformats.org/officeDocument/2006/relationships/hyperlink" Target="https://www.screener.in/company/PRECWIRE/" TargetMode="External"/><Relationship Id="rId55" Type="http://schemas.openxmlformats.org/officeDocument/2006/relationships/hyperlink" Target="https://abhinavarizel-my.sharepoint.com/:b:/p/kmn/IQDGMaeW00hET5k5xCJouKZYAbrJW0gstwS-y8lENgu2QXE?e=6Lu6qw" TargetMode="External"/><Relationship Id="rId54" Type="http://schemas.openxmlformats.org/officeDocument/2006/relationships/hyperlink" Target="https://abhinavarizel-my.sharepoint.com/:b:/p/kmn/IQAnyy3DwqlFQa9YzouaJJTGAbDXVvDrApgpnH35Wt8k2_E?e=SGlX06" TargetMode="External"/><Relationship Id="rId53" Type="http://schemas.openxmlformats.org/officeDocument/2006/relationships/hyperlink" Target="https://abhinavarizel-my.sharepoint.com/:b:/p/kmn/IQAY-u8zx4nTToqnZ70Mj1stASrr3J7NoYiFnZGmH2yozXM?e=0Iqjjb" TargetMode="External"/><Relationship Id="rId52" Type="http://schemas.openxmlformats.org/officeDocument/2006/relationships/hyperlink" Target="https://abhinavarizel-my.sharepoint.com/:b:/p/kmn/Ecjt8sXIAsZLh73o6WILe_kBTPl6J2W--dE5Qv7dKajNxQ?e=daijbw" TargetMode="External"/><Relationship Id="rId51" Type="http://schemas.openxmlformats.org/officeDocument/2006/relationships/hyperlink" Target="https://abhinavarizel-my.sharepoint.com/:b:/p/kmn/IQDIac2KjB0QQ6nT70J36gJtAR_4ltkxwixdlrAaTmFUFSU?e=QtcoV8" TargetMode="External"/><Relationship Id="rId50" Type="http://schemas.openxmlformats.org/officeDocument/2006/relationships/hyperlink" Target="https://abhinavarizel-my.sharepoint.com/:b:/p/kmn/ERE65XWptFFCvv6zsBRI5dMBoyMUCidH7AedlDiX3aI4TA?e=4svuui" TargetMode="External"/><Relationship Id="rId5" Type="http://schemas.openxmlformats.org/officeDocument/2006/relationships/hyperlink" Target="https://abhinavarizel-my.sharepoint.com/:b:/p/kmn/IQCL5wEZZZ1nQ4Bp5PjW3FjbAZPjSBXHHIVl_Sq8gpKO_mM?e=nDrEqb" TargetMode="External"/><Relationship Id="rId49" Type="http://schemas.openxmlformats.org/officeDocument/2006/relationships/hyperlink" Target="https://abhinavarizel-my.sharepoint.com/:b:/p/kmn/IQCXusQt6ZMrTpvwdCDzoVmYAUi531ZHvjg1iv_1Oz6F14g?e=D3zzyi" TargetMode="External"/><Relationship Id="rId48" Type="http://schemas.openxmlformats.org/officeDocument/2006/relationships/hyperlink" Target="https://abhinavarizel-my.sharepoint.com/:b:/p/kmn/IQCbehMyMDK2SqMawuSrGCSvAcWtwX4nQYvJ0hlpBOqMeg0?e=QM0PgC" TargetMode="External"/><Relationship Id="rId47" Type="http://schemas.openxmlformats.org/officeDocument/2006/relationships/hyperlink" Target="https://abhinavarizel-my.sharepoint.com/:b:/p/kmn/IQASvCWls8R2TqvfwMcjHGK6AbP5gZY5pWQseCWibdArRxA?e=bMY6Lv" TargetMode="External"/><Relationship Id="rId46" Type="http://schemas.openxmlformats.org/officeDocument/2006/relationships/hyperlink" Target="https://abhinavarizel-my.sharepoint.com/:b:/p/kmn/IQBWUX7ytYEISqdAih1iU7tiAafkFstboOHTXPt5WJixn6E?e=PLLVK7" TargetMode="External"/><Relationship Id="rId45" Type="http://schemas.openxmlformats.org/officeDocument/2006/relationships/hyperlink" Target="https://abhinavarizel-my.sharepoint.com/:b:/p/kmn/IQDhoECTlDo6TpCYZX2w_lp1AfKaJOM80gj_glnK930E6A4?e=wIoTTu" TargetMode="External"/><Relationship Id="rId44" Type="http://schemas.openxmlformats.org/officeDocument/2006/relationships/hyperlink" Target="https://abhinavarizel-my.sharepoint.com/:b:/p/kmn/IQA86ugUeGN-RoRd0i2WbSOWAZX-17VYkvhWmDuaxB8tJWk?e=mNnKop" TargetMode="External"/><Relationship Id="rId43" Type="http://schemas.openxmlformats.org/officeDocument/2006/relationships/hyperlink" Target="https://abhinavarizel-my.sharepoint.com/:b:/p/kmn/IQAMEM3g2K7aR4DrXNP6qghOAYm-TMRweW-X9xpO2krycRg?e=L5mIVx" TargetMode="External"/><Relationship Id="rId42" Type="http://schemas.openxmlformats.org/officeDocument/2006/relationships/hyperlink" Target="https://abhinavarizel-my.sharepoint.com/:b:/p/kmn/IQBQc-onBomLRaRgIZJK_EAgAZgKJxolRfo9Iz9CglSYBWI?e=lRQZFd" TargetMode="External"/><Relationship Id="rId41" Type="http://schemas.openxmlformats.org/officeDocument/2006/relationships/hyperlink" Target="https://abhinavarizel-my.sharepoint.com/:b:/p/kmn/IQD8bfG0ZvqPTZlVlt2n_nAcAXo7698-BYI6bqYhIcAafII?e=tqyHrP" TargetMode="External"/><Relationship Id="rId40" Type="http://schemas.openxmlformats.org/officeDocument/2006/relationships/hyperlink" Target="https://abhinavarizel-my.sharepoint.com/:b:/p/kmn/IQChkSvxrPkMQIYoGJ5cWDqpAY2gXWcjb0OeJ-2OV4upSx0?e=AqKVo4" TargetMode="External"/><Relationship Id="rId4" Type="http://schemas.openxmlformats.org/officeDocument/2006/relationships/hyperlink" Target="https://abhinavarizel-my.sharepoint.com/:b:/p/kmn/IQBCXByerOkuQqzD3-t1lZEYAVvfBzMEquSaCsdRsNQb_9Q?e=hFUU34" TargetMode="External"/><Relationship Id="rId39" Type="http://schemas.openxmlformats.org/officeDocument/2006/relationships/hyperlink" Target="https://abhinavarizel-my.sharepoint.com/:b:/p/kmn/IQC9RSkiilTYToS9KVMShuNeARq-zAfmtz1bNf9vBSBQ2pI?e=NUzr0W" TargetMode="External"/><Relationship Id="rId38" Type="http://schemas.openxmlformats.org/officeDocument/2006/relationships/hyperlink" Target="https://abhinavarizel-my.sharepoint.com/:b:/p/kmn/IQAvkK7Sp11PRaYApqiMsXnyAZxZ4sfZztp7JAxc9eI-FGQ?e=sciM6Y" TargetMode="External"/><Relationship Id="rId37" Type="http://schemas.openxmlformats.org/officeDocument/2006/relationships/hyperlink" Target="https://abhinavarizel-my.sharepoint.com/:b:/p/kmn/IQBw60gKMUfhTqneDjpJQ5wdAZG_J595CRhEpELCtJDrny4?e=BMYHti" TargetMode="External"/><Relationship Id="rId36" Type="http://schemas.openxmlformats.org/officeDocument/2006/relationships/hyperlink" Target="https://abhinavarizel-my.sharepoint.com/:b:/p/kmn/IQCQzWgjLVqtRoMpbyqztIFUAa5t0HAzJEy8PZFIqKcAEMY?e=8vyeq9" TargetMode="External"/><Relationship Id="rId35" Type="http://schemas.openxmlformats.org/officeDocument/2006/relationships/hyperlink" Target="https://abhinavarizel-my.sharepoint.com/:b:/p/kmn/IQA34XdvA_vNTpK3YpFQ-6GSAfbq-m7Ytkc2M-C-3nu6qms?e=whe2F0" TargetMode="External"/><Relationship Id="rId34" Type="http://schemas.openxmlformats.org/officeDocument/2006/relationships/hyperlink" Target="https://abhinavarizel-my.sharepoint.com/:b:/p/kmn/IQDaR_TnK-uWRpU7RybjxOE0ASMDbjE0aQnL_Lj5dXD-Lkw?e=KB70H4" TargetMode="External"/><Relationship Id="rId33" Type="http://schemas.openxmlformats.org/officeDocument/2006/relationships/hyperlink" Target="https://abhinavarizel-my.sharepoint.com/:b:/p/kmn/IQCACB1V-KicTqjhEEbfm1rlAemZIEsmsbKUF0udWHchBvM?e=C3CLIc" TargetMode="External"/><Relationship Id="rId32" Type="http://schemas.openxmlformats.org/officeDocument/2006/relationships/hyperlink" Target="https://abhinavarizel-my.sharepoint.com/:b:/p/kmn/IQCUY58y6iEUQ6hK8_r7PQ54AaSrDodc-UJWkgVpD2KCFUQ?e=rQjIfW" TargetMode="External"/><Relationship Id="rId31" Type="http://schemas.openxmlformats.org/officeDocument/2006/relationships/hyperlink" Target="https://abhinavarizel-my.sharepoint.com/:b:/p/kmn/IQBUR1ZH40SuS6yfmVbH7F5AAV9CSUWWwYTin-cSJNAERLo?e=HA8cV8" TargetMode="External"/><Relationship Id="rId30" Type="http://schemas.openxmlformats.org/officeDocument/2006/relationships/hyperlink" Target="https://abhinavarizel-my.sharepoint.com/:b:/p/kmn/IQAEhAPH-QHNQ6D3yunGLPPDAfSgqyECGEi93wOuJkw44AE?e=aA1OP8" TargetMode="External"/><Relationship Id="rId3" Type="http://schemas.openxmlformats.org/officeDocument/2006/relationships/hyperlink" Target="https://abhinavarizel-my.sharepoint.com/:b:/p/kmn/EXKxQDKblSNFj_xUdGmITfQB938OY4MhGVrfxiNmpIinLQ?e=7aoUOX" TargetMode="External"/><Relationship Id="rId29" Type="http://schemas.openxmlformats.org/officeDocument/2006/relationships/hyperlink" Target="https://abhinavarizel-my.sharepoint.com/:b:/p/kmn/IQBrid1IGiNlQrnqJ6uxI6A0AeT2KUqZ7INMXqm_Dln5gDQ?e=nGT9fH" TargetMode="External"/><Relationship Id="rId28" Type="http://schemas.openxmlformats.org/officeDocument/2006/relationships/hyperlink" Target="https://abhinavarizel-my.sharepoint.com/:b:/p/kmn/IQA8_USApUU3RLlDXhDzmj_QAfbQKhMqCZbR_3mRidpH_LU?e=iuyC8x" TargetMode="External"/><Relationship Id="rId27" Type="http://schemas.openxmlformats.org/officeDocument/2006/relationships/hyperlink" Target="https://abhinavarizel-my.sharepoint.com/:b:/p/kmn/IQBQJDNrYKu2RLAQMJX4VUCHAf8Fz39eUAZK_rOgcrr-vF4?e=O6KVRo" TargetMode="External"/><Relationship Id="rId26" Type="http://schemas.openxmlformats.org/officeDocument/2006/relationships/hyperlink" Target="https://abhinavarizel-my.sharepoint.com/:b:/p/kmn/IQBWR1dtHJYPQaJ4bYC4NzjuAcVLCA2rw1DW_Uu38sVLz9M?e=ABjDCr" TargetMode="External"/><Relationship Id="rId25" Type="http://schemas.openxmlformats.org/officeDocument/2006/relationships/hyperlink" Target="https://abhinavarizel-my.sharepoint.com/:b:/p/kmn/IQDLTIAuWhkAQII-UnPfvRDDAYMOjtF4rfLDNGTQbPXCnfk?e=4Yn69D" TargetMode="External"/><Relationship Id="rId24" Type="http://schemas.openxmlformats.org/officeDocument/2006/relationships/hyperlink" Target="https://abhinavarizel-my.sharepoint.com/:b:/p/kmn/IQCAiRGf428aTbp8YkMarXb2AZBAcLRL_ul9aWGuDJzGtkg?e=63593a" TargetMode="External"/><Relationship Id="rId23" Type="http://schemas.openxmlformats.org/officeDocument/2006/relationships/hyperlink" Target="https://abhinavarizel-my.sharepoint.com/:b:/p/kmn/IQDljjkO-EXvS7PCBWu-yZB_Ac0eSmnfzBOQtg_0wqrHnDI?e=x9LaSr" TargetMode="External"/><Relationship Id="rId22" Type="http://schemas.openxmlformats.org/officeDocument/2006/relationships/hyperlink" Target="https://abhinavarizel-my.sharepoint.com/:b:/p/kmn/IQCCIUU6lM2VR7C3B8d-r8FoAYNy8-vZpT0jLKu5kbV02e4?e=N5Zsjn" TargetMode="External"/><Relationship Id="rId21" Type="http://schemas.openxmlformats.org/officeDocument/2006/relationships/hyperlink" Target="https://abhinavarizel-my.sharepoint.com/:b:/p/kmn/IQADynn_JNTVTY2PqydiHwQNAUmleEs2LXRlPodpPx1Q9a0?e=qXmesP" TargetMode="External"/><Relationship Id="rId20" Type="http://schemas.openxmlformats.org/officeDocument/2006/relationships/hyperlink" Target="https://abhinavarizel-my.sharepoint.com/:b:/p/kmn/IQAr-quvcyc3Q7Pqg2UjpcoXARzSV_cDE-2JqxhZd53xhzY?e=wb2fu2" TargetMode="External"/><Relationship Id="rId2" Type="http://schemas.openxmlformats.org/officeDocument/2006/relationships/hyperlink" Target="https://abhinavarizel-my.sharepoint.com/:b:/p/kmn/IQC7WRWGPi5mQIpUZTpcSxE8ATzSmTfOPBtlRK5U1RrA5Z8?e=a19VqL" TargetMode="External"/><Relationship Id="rId19" Type="http://schemas.openxmlformats.org/officeDocument/2006/relationships/hyperlink" Target="https://abhinavarizel-my.sharepoint.com/:b:/p/kmn/IQDK9zA0Bp02QoOeVV5910ECAUoIqTbKqPDF9d9we0m1Pv0?e=7qvZA6" TargetMode="External"/><Relationship Id="rId18" Type="http://schemas.openxmlformats.org/officeDocument/2006/relationships/hyperlink" Target="https://abhinavarizel-my.sharepoint.com/:b:/p/kmn/IQAjefeJ1MKKQ6KsaOgsThB9ARMWShviaCX46aNxzf_VOfs?e=cD8Wi4" TargetMode="External"/><Relationship Id="rId17" Type="http://schemas.openxmlformats.org/officeDocument/2006/relationships/hyperlink" Target="https://abhinavarizel-my.sharepoint.com/:b:/p/kmn/IQDV5osRaoSzRIpxqhm6nlD4Ac_Cw5sq2cSIW9t2uw2UG_I?e=NhPArL" TargetMode="External"/><Relationship Id="rId16" Type="http://schemas.openxmlformats.org/officeDocument/2006/relationships/hyperlink" Target="https://abhinavarizel-my.sharepoint.com/:b:/p/kmn/IQAybgBJMf9lSbc5wQF0DIJ-AXs5sZSbMUL0vXRF5CNPovU?e=TKojjb" TargetMode="External"/><Relationship Id="rId15" Type="http://schemas.openxmlformats.org/officeDocument/2006/relationships/hyperlink" Target="https://abhinavarizel-my.sharepoint.com/:b:/p/kmn/IQBVPc9_2rn8Qo-rd_S4ATB6AdqqceUvDaDNDp6j9q-SYCE?e=5Ydrr0" TargetMode="External"/><Relationship Id="rId14" Type="http://schemas.openxmlformats.org/officeDocument/2006/relationships/hyperlink" Target="https://abhinavarizel-my.sharepoint.com/:b:/p/kmn/IQD2ceTqo3kMTICVsxRnpKQfAZR64Z0PPd-SsTUXCds83ic?e=x8E4wy" TargetMode="External"/><Relationship Id="rId13" Type="http://schemas.openxmlformats.org/officeDocument/2006/relationships/hyperlink" Target="https://abhinavarizel-my.sharepoint.com/:b:/p/kmn/IQDhGGOdOE6PQYdkBLX2RkuWAUwV0sdncOW5s4TeOMM2ks8?e=ngPKQ0" TargetMode="External"/><Relationship Id="rId12" Type="http://schemas.openxmlformats.org/officeDocument/2006/relationships/hyperlink" Target="https://abhinavarizel-my.sharepoint.com/:b:/p/kmn/IQC0ylFfCt1LSJ1_2K4IEr4iAfu4bBlHi3Slte6GqtelR1I?e=ZA7Hby" TargetMode="External"/><Relationship Id="rId11" Type="http://schemas.openxmlformats.org/officeDocument/2006/relationships/hyperlink" Target="https://abhinavarizel-my.sharepoint.com/:b:/p/kmn/IQAuQEPfP8vSQKZoIO7OKOjnAaJHX2NDnKViELy1FcTsOGg?e=RQkjiV" TargetMode="External"/><Relationship Id="rId10" Type="http://schemas.openxmlformats.org/officeDocument/2006/relationships/hyperlink" Target="https://abhinavarizel-my.sharepoint.com/:b:/p/kmn/IQDBs87tG4TaSJ4dfioBRvgaAUXtkqflOsCWUwDNPdI8-8w?e=p6Sjx2" TargetMode="External"/><Relationship Id="rId1" Type="http://schemas.openxmlformats.org/officeDocument/2006/relationships/hyperlink" Target="https://abhinavarizel-my.sharepoint.com/:b:/p/kmn/IQBJYoKV0stlSY51y5XEX1nVAd515da7o9KVRQCPMEbFMmM?e=VYHJ4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9"/>
  <sheetViews>
    <sheetView tabSelected="1" topLeftCell="B1" workbookViewId="0">
      <selection activeCell="J5" sqref="J5"/>
    </sheetView>
  </sheetViews>
  <sheetFormatPr defaultColWidth="9" defaultRowHeight="14.25"/>
  <cols>
    <col min="1" max="1" width="28.5" customWidth="1"/>
    <col min="4" max="6" width="13.5" customWidth="1"/>
    <col min="7" max="7" width="21.5" customWidth="1"/>
    <col min="8" max="9" width="12.25" customWidth="1"/>
    <col min="10" max="10" width="16"/>
    <col min="11" max="11" width="12.5" customWidth="1"/>
    <col min="12" max="12" width="12.375" customWidth="1"/>
  </cols>
  <sheetData>
    <row r="3" ht="15" spans="1:12">
      <c r="A3" s="74" t="s">
        <v>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ht="45" spans="1:12">
      <c r="A4" s="76" t="s">
        <v>1</v>
      </c>
      <c r="B4" s="77" t="s">
        <v>2</v>
      </c>
      <c r="C4" s="77" t="s">
        <v>3</v>
      </c>
      <c r="D4" s="77" t="s">
        <v>4</v>
      </c>
      <c r="E4" s="77" t="s">
        <v>5</v>
      </c>
      <c r="F4" s="77" t="s">
        <v>6</v>
      </c>
      <c r="G4" s="77" t="s">
        <v>7</v>
      </c>
      <c r="H4" s="77" t="s">
        <v>8</v>
      </c>
      <c r="I4" s="77" t="s">
        <v>9</v>
      </c>
      <c r="J4" s="77" t="s">
        <v>10</v>
      </c>
      <c r="K4" s="77" t="s">
        <v>11</v>
      </c>
      <c r="L4" s="78" t="s">
        <v>12</v>
      </c>
    </row>
    <row r="5" ht="29" customHeight="1" spans="1:12">
      <c r="A5" s="28" t="s">
        <v>13</v>
      </c>
      <c r="B5" s="28">
        <v>0</v>
      </c>
      <c r="C5" s="28">
        <f>'10 KW  75MM'!K3</f>
        <v>300</v>
      </c>
      <c r="D5" s="28"/>
      <c r="E5" s="28">
        <v>12984</v>
      </c>
      <c r="F5" s="28">
        <v>14492</v>
      </c>
      <c r="G5" s="79">
        <f>'10 KW  75MM'!P64</f>
        <v>21348.712</v>
      </c>
      <c r="H5" s="79">
        <f>F5-G5</f>
        <v>-6856.712</v>
      </c>
      <c r="I5" s="79">
        <f>E5-G5</f>
        <v>-8364.712</v>
      </c>
      <c r="J5" s="80">
        <f>'10 KW  75MM'!Q64</f>
        <v>9043133.95876</v>
      </c>
      <c r="K5" s="28">
        <v>13500</v>
      </c>
      <c r="L5" s="28">
        <f>K5*C5</f>
        <v>4050000</v>
      </c>
    </row>
    <row r="6" ht="22" customHeight="1" spans="1:12">
      <c r="A6" s="28"/>
      <c r="B6" s="28"/>
      <c r="C6" s="28"/>
      <c r="D6" s="28"/>
      <c r="E6" s="28"/>
      <c r="F6" s="28"/>
      <c r="G6" s="79"/>
      <c r="H6" s="79"/>
      <c r="I6" s="79"/>
      <c r="J6" s="81"/>
      <c r="K6" s="28"/>
      <c r="L6" s="28"/>
    </row>
    <row r="7" ht="15" spans="1:12">
      <c r="G7" s="82"/>
      <c r="H7" s="82"/>
      <c r="I7" s="82"/>
      <c r="J7" s="82"/>
      <c r="K7" s="82"/>
      <c r="L7" s="82"/>
    </row>
    <row r="8" ht="15" spans="1:12">
      <c r="G8" s="83"/>
      <c r="H8" s="83"/>
      <c r="I8" s="83"/>
      <c r="J8" s="82"/>
    </row>
    <row r="9" ht="15" spans="1:12">
      <c r="G9" s="82"/>
      <c r="H9" s="82"/>
      <c r="I9" s="82"/>
      <c r="J9" s="8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89"/>
  <sheetViews>
    <sheetView workbookViewId="0">
      <pane xSplit="3" ySplit="5" topLeftCell="I54" activePane="bottomRight" state="frozen"/>
      <selection/>
      <selection pane="topRight"/>
      <selection pane="bottomLeft"/>
      <selection pane="bottomRight" activeCell="Q64" sqref="Q64"/>
    </sheetView>
  </sheetViews>
  <sheetFormatPr defaultColWidth="9" defaultRowHeight="14.25"/>
  <cols>
    <col min="2" max="2" width="14.375" customWidth="1"/>
    <col min="3" max="3" width="45.25" customWidth="1"/>
    <col min="4" max="4" width="13.75" customWidth="1"/>
    <col min="5" max="5" width="16.5" customWidth="1"/>
    <col min="6" max="6" width="19.75" customWidth="1"/>
    <col min="7" max="7" width="6.875" customWidth="1"/>
    <col min="8" max="8" width="8.125" customWidth="1"/>
    <col min="9" max="9" width="53.375" customWidth="1"/>
    <col min="10" max="10" width="13" customWidth="1"/>
    <col min="11" max="11" width="10.5" customWidth="1"/>
    <col min="12" max="16" width="13" customWidth="1"/>
    <col min="17" max="17" width="14.875" customWidth="1"/>
    <col min="18" max="19" width="13" customWidth="1"/>
    <col min="20" max="20" width="13.2833333333333" customWidth="1"/>
    <col min="21" max="22" width="9.14166666666667" customWidth="1"/>
  </cols>
  <sheetData>
    <row r="1" ht="27.75" customHeight="1" spans="1:20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5.75" spans="1:20">
      <c r="A2" s="4" t="s">
        <v>15</v>
      </c>
      <c r="B2" s="5"/>
      <c r="C2" s="5"/>
      <c r="D2" s="5"/>
      <c r="E2" s="5"/>
      <c r="F2" s="6" t="s">
        <v>16</v>
      </c>
      <c r="G2" s="6"/>
      <c r="H2" s="6"/>
      <c r="I2" s="6"/>
      <c r="J2" s="7" t="s">
        <v>17</v>
      </c>
      <c r="K2" s="6"/>
      <c r="L2" s="6"/>
      <c r="M2" s="6"/>
      <c r="N2" s="6"/>
      <c r="O2" s="6"/>
      <c r="P2" s="6"/>
      <c r="Q2" s="6"/>
      <c r="R2" s="6"/>
      <c r="S2" s="6"/>
      <c r="T2" s="6"/>
    </row>
    <row r="3" ht="15.75" spans="1:20">
      <c r="A3" s="8" t="s">
        <v>18</v>
      </c>
      <c r="B3" s="9"/>
      <c r="C3" s="9"/>
      <c r="D3" s="9"/>
      <c r="E3" s="9"/>
      <c r="F3" s="6" t="s">
        <v>19</v>
      </c>
      <c r="G3" s="6"/>
      <c r="H3" s="6"/>
      <c r="I3" s="6"/>
      <c r="J3" s="7" t="s">
        <v>20</v>
      </c>
      <c r="K3" s="6">
        <v>300</v>
      </c>
      <c r="L3" s="6"/>
      <c r="M3" s="6"/>
      <c r="N3" s="6"/>
      <c r="O3" s="6"/>
      <c r="P3" s="6"/>
      <c r="Q3" s="6"/>
      <c r="R3" s="6"/>
      <c r="S3" s="6"/>
      <c r="T3" s="6"/>
    </row>
    <row r="4" ht="15.75" spans="1:20">
      <c r="A4" s="10" t="s">
        <v>21</v>
      </c>
      <c r="B4" s="11"/>
      <c r="C4" s="11"/>
      <c r="D4" s="11"/>
      <c r="E4" s="11"/>
      <c r="F4" s="7" t="s">
        <v>22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15.75" spans="1:20">
      <c r="A5" s="10" t="s">
        <v>23</v>
      </c>
      <c r="B5" s="11"/>
      <c r="C5" s="11"/>
      <c r="D5" s="11"/>
      <c r="E5" s="11"/>
      <c r="F5" s="7" t="s">
        <v>24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37.5" spans="1:20">
      <c r="A6" s="12" t="s">
        <v>25</v>
      </c>
      <c r="B6" s="13" t="s">
        <v>26</v>
      </c>
      <c r="C6" s="13" t="s">
        <v>27</v>
      </c>
      <c r="D6" s="13" t="s">
        <v>28</v>
      </c>
      <c r="E6" s="14" t="s">
        <v>29</v>
      </c>
      <c r="F6" s="15" t="s">
        <v>30</v>
      </c>
      <c r="G6" s="16" t="s">
        <v>31</v>
      </c>
      <c r="H6" s="16" t="s">
        <v>32</v>
      </c>
      <c r="I6" s="12" t="s">
        <v>33</v>
      </c>
      <c r="J6" s="17" t="s">
        <v>34</v>
      </c>
      <c r="K6" s="18" t="s">
        <v>35</v>
      </c>
      <c r="L6" s="18" t="s">
        <v>36</v>
      </c>
      <c r="M6" s="18" t="s">
        <v>37</v>
      </c>
      <c r="N6" s="18" t="s">
        <v>38</v>
      </c>
      <c r="O6" s="18" t="s">
        <v>39</v>
      </c>
      <c r="P6" s="18" t="s">
        <v>40</v>
      </c>
      <c r="Q6" s="18" t="s">
        <v>41</v>
      </c>
      <c r="R6" s="17" t="s">
        <v>42</v>
      </c>
      <c r="S6" s="17" t="s">
        <v>43</v>
      </c>
      <c r="T6" s="19" t="s">
        <v>44</v>
      </c>
    </row>
    <row r="7" ht="18" customHeight="1" spans="1:20">
      <c r="A7" s="20">
        <v>1</v>
      </c>
      <c r="B7" s="21" t="s">
        <v>45</v>
      </c>
      <c r="C7" s="22" t="s">
        <v>46</v>
      </c>
      <c r="D7" s="20" t="s">
        <v>47</v>
      </c>
      <c r="E7" s="23" t="s">
        <v>48</v>
      </c>
      <c r="F7" s="24" t="s">
        <v>49</v>
      </c>
      <c r="G7" s="25">
        <v>1</v>
      </c>
      <c r="H7" s="25" t="s">
        <v>50</v>
      </c>
      <c r="I7" s="26" t="s">
        <v>51</v>
      </c>
      <c r="J7" s="27" t="s">
        <v>52</v>
      </c>
      <c r="K7" s="27">
        <f>G7*K3</f>
        <v>300</v>
      </c>
      <c r="L7" s="27">
        <v>66</v>
      </c>
      <c r="M7" s="27">
        <f t="shared" ref="M7:M25" si="0">L7/G7</f>
        <v>66</v>
      </c>
      <c r="N7" s="27">
        <f t="shared" ref="N7:N25" si="1">M7-K7</f>
        <v>-234</v>
      </c>
      <c r="O7" s="27">
        <v>2610</v>
      </c>
      <c r="P7" s="27">
        <f t="shared" ref="P7:P63" si="2">O7*G7</f>
        <v>2610</v>
      </c>
      <c r="Q7" s="27">
        <f t="shared" ref="Q7:Q63" si="3">K7*P7</f>
        <v>783000</v>
      </c>
      <c r="R7" s="27">
        <v>100</v>
      </c>
      <c r="S7" s="27" t="s">
        <v>53</v>
      </c>
      <c r="T7" s="28"/>
    </row>
    <row r="8" ht="18" customHeight="1" spans="1:20">
      <c r="A8" s="20">
        <v>2</v>
      </c>
      <c r="B8" s="29" t="s">
        <v>54</v>
      </c>
      <c r="C8" s="22" t="s">
        <v>55</v>
      </c>
      <c r="D8" s="20" t="s">
        <v>56</v>
      </c>
      <c r="E8" s="23" t="s">
        <v>48</v>
      </c>
      <c r="F8" s="24" t="s">
        <v>49</v>
      </c>
      <c r="G8" s="25">
        <v>1</v>
      </c>
      <c r="H8" s="25" t="s">
        <v>50</v>
      </c>
      <c r="I8" s="26" t="s">
        <v>57</v>
      </c>
      <c r="J8" s="27" t="s">
        <v>52</v>
      </c>
      <c r="K8" s="27">
        <f>G8*K3</f>
        <v>300</v>
      </c>
      <c r="L8" s="27">
        <v>36</v>
      </c>
      <c r="M8" s="27">
        <f t="shared" si="0"/>
        <v>36</v>
      </c>
      <c r="N8" s="27">
        <f t="shared" si="1"/>
        <v>-264</v>
      </c>
      <c r="O8" s="27">
        <v>1429</v>
      </c>
      <c r="P8" s="27">
        <f t="shared" si="2"/>
        <v>1429</v>
      </c>
      <c r="Q8" s="27">
        <f t="shared" si="3"/>
        <v>428700</v>
      </c>
      <c r="R8" s="27">
        <v>100</v>
      </c>
      <c r="S8" s="27" t="s">
        <v>53</v>
      </c>
      <c r="T8" s="28"/>
    </row>
    <row r="9" ht="18" customHeight="1" spans="1:20">
      <c r="A9" s="20">
        <v>3</v>
      </c>
      <c r="B9" s="21" t="s">
        <v>58</v>
      </c>
      <c r="C9" s="22" t="s">
        <v>59</v>
      </c>
      <c r="D9" s="23" t="s">
        <v>60</v>
      </c>
      <c r="E9" s="23" t="s">
        <v>48</v>
      </c>
      <c r="F9" s="24" t="s">
        <v>49</v>
      </c>
      <c r="G9" s="25">
        <v>2</v>
      </c>
      <c r="H9" s="25" t="s">
        <v>50</v>
      </c>
      <c r="I9" s="26" t="s">
        <v>61</v>
      </c>
      <c r="J9" s="27" t="s">
        <v>62</v>
      </c>
      <c r="K9" s="27">
        <f>G9*K3</f>
        <v>600</v>
      </c>
      <c r="L9" s="27">
        <v>120</v>
      </c>
      <c r="M9" s="27">
        <f t="shared" si="0"/>
        <v>60</v>
      </c>
      <c r="N9" s="27">
        <f t="shared" si="1"/>
        <v>-540</v>
      </c>
      <c r="O9" s="27">
        <v>180</v>
      </c>
      <c r="P9" s="27">
        <f t="shared" si="2"/>
        <v>360</v>
      </c>
      <c r="Q9" s="27">
        <f t="shared" si="3"/>
        <v>216000</v>
      </c>
      <c r="R9" s="27">
        <v>100</v>
      </c>
      <c r="S9" s="27" t="s">
        <v>53</v>
      </c>
      <c r="T9" s="28"/>
    </row>
    <row r="10" ht="15.75" spans="1:20">
      <c r="A10" s="20">
        <v>4</v>
      </c>
      <c r="B10" s="29" t="s">
        <v>63</v>
      </c>
      <c r="C10" s="22" t="s">
        <v>64</v>
      </c>
      <c r="D10" s="20" t="s">
        <v>47</v>
      </c>
      <c r="E10" s="23" t="s">
        <v>48</v>
      </c>
      <c r="F10" s="24" t="s">
        <v>65</v>
      </c>
      <c r="G10" s="25">
        <v>1</v>
      </c>
      <c r="H10" s="25" t="s">
        <v>50</v>
      </c>
      <c r="I10" s="26" t="s">
        <v>66</v>
      </c>
      <c r="J10" s="27" t="s">
        <v>62</v>
      </c>
      <c r="K10" s="27">
        <f>G10*K3</f>
        <v>300</v>
      </c>
      <c r="L10" s="30">
        <v>100</v>
      </c>
      <c r="M10" s="27">
        <f t="shared" si="0"/>
        <v>100</v>
      </c>
      <c r="N10" s="27">
        <f t="shared" si="1"/>
        <v>-200</v>
      </c>
      <c r="O10" s="27">
        <v>97.81</v>
      </c>
      <c r="P10" s="27">
        <f t="shared" si="2"/>
        <v>97.81</v>
      </c>
      <c r="Q10" s="27">
        <f t="shared" si="3"/>
        <v>29343</v>
      </c>
      <c r="R10" s="27">
        <v>100</v>
      </c>
      <c r="S10" s="27" t="s">
        <v>53</v>
      </c>
      <c r="T10" s="28"/>
    </row>
    <row r="11" ht="15.75" spans="1:20">
      <c r="A11" s="20">
        <v>5</v>
      </c>
      <c r="B11" s="29" t="s">
        <v>67</v>
      </c>
      <c r="C11" s="22" t="s">
        <v>68</v>
      </c>
      <c r="D11" s="20" t="s">
        <v>60</v>
      </c>
      <c r="E11" s="23" t="s">
        <v>48</v>
      </c>
      <c r="F11" s="24" t="s">
        <v>69</v>
      </c>
      <c r="G11" s="31">
        <v>1</v>
      </c>
      <c r="H11" s="31" t="s">
        <v>50</v>
      </c>
      <c r="I11" s="26" t="s">
        <v>66</v>
      </c>
      <c r="J11" s="27" t="s">
        <v>62</v>
      </c>
      <c r="K11" s="27">
        <f>G11*K3</f>
        <v>300</v>
      </c>
      <c r="L11" s="30">
        <v>86</v>
      </c>
      <c r="M11" s="27">
        <f t="shared" si="0"/>
        <v>86</v>
      </c>
      <c r="N11" s="27">
        <f t="shared" si="1"/>
        <v>-214</v>
      </c>
      <c r="O11" s="27">
        <v>43.71</v>
      </c>
      <c r="P11" s="27">
        <f t="shared" si="2"/>
        <v>43.71</v>
      </c>
      <c r="Q11" s="27">
        <f t="shared" si="3"/>
        <v>13113</v>
      </c>
      <c r="R11" s="27">
        <v>100</v>
      </c>
      <c r="S11" s="27" t="s">
        <v>53</v>
      </c>
      <c r="T11" s="28"/>
    </row>
    <row r="12" ht="15.75" spans="1:20">
      <c r="A12" s="20">
        <v>6</v>
      </c>
      <c r="B12" s="29" t="s">
        <v>70</v>
      </c>
      <c r="C12" s="22" t="s">
        <v>71</v>
      </c>
      <c r="D12" s="20" t="s">
        <v>72</v>
      </c>
      <c r="E12" s="23" t="s">
        <v>48</v>
      </c>
      <c r="F12" s="24" t="s">
        <v>69</v>
      </c>
      <c r="G12" s="25">
        <v>1</v>
      </c>
      <c r="H12" s="25" t="s">
        <v>50</v>
      </c>
      <c r="I12" s="26" t="s">
        <v>66</v>
      </c>
      <c r="J12" s="27" t="s">
        <v>62</v>
      </c>
      <c r="K12" s="27">
        <f>G12*K3</f>
        <v>300</v>
      </c>
      <c r="L12" s="30">
        <v>128</v>
      </c>
      <c r="M12" s="27">
        <f t="shared" si="0"/>
        <v>128</v>
      </c>
      <c r="N12" s="27">
        <f t="shared" si="1"/>
        <v>-172</v>
      </c>
      <c r="O12" s="27">
        <v>48.96</v>
      </c>
      <c r="P12" s="27">
        <f t="shared" si="2"/>
        <v>48.96</v>
      </c>
      <c r="Q12" s="27">
        <f t="shared" si="3"/>
        <v>14688</v>
      </c>
      <c r="R12" s="27">
        <v>100</v>
      </c>
      <c r="S12" s="27" t="s">
        <v>53</v>
      </c>
      <c r="T12" s="28"/>
    </row>
    <row r="13" ht="15.75" spans="1:20">
      <c r="A13" s="20">
        <v>7</v>
      </c>
      <c r="B13" s="29" t="s">
        <v>73</v>
      </c>
      <c r="C13" s="22" t="s">
        <v>74</v>
      </c>
      <c r="D13" s="20" t="s">
        <v>72</v>
      </c>
      <c r="E13" s="23" t="s">
        <v>48</v>
      </c>
      <c r="F13" s="24" t="s">
        <v>65</v>
      </c>
      <c r="G13" s="25">
        <v>1</v>
      </c>
      <c r="H13" s="25" t="s">
        <v>50</v>
      </c>
      <c r="I13" s="26" t="s">
        <v>66</v>
      </c>
      <c r="J13" s="27" t="s">
        <v>62</v>
      </c>
      <c r="K13" s="27">
        <f>G13*K3</f>
        <v>300</v>
      </c>
      <c r="L13" s="32">
        <v>58</v>
      </c>
      <c r="M13" s="27">
        <f t="shared" si="0"/>
        <v>58</v>
      </c>
      <c r="N13" s="27">
        <f t="shared" si="1"/>
        <v>-242</v>
      </c>
      <c r="O13" s="27">
        <v>504.78</v>
      </c>
      <c r="P13" s="27">
        <f t="shared" si="2"/>
        <v>504.78</v>
      </c>
      <c r="Q13" s="27">
        <f t="shared" si="3"/>
        <v>151434</v>
      </c>
      <c r="R13" s="27">
        <v>100</v>
      </c>
      <c r="S13" s="27" t="s">
        <v>53</v>
      </c>
      <c r="T13" s="28"/>
    </row>
    <row r="14" ht="15.75" spans="1:20">
      <c r="A14" s="20">
        <v>8</v>
      </c>
      <c r="B14" s="29" t="s">
        <v>75</v>
      </c>
      <c r="C14" s="22" t="s">
        <v>76</v>
      </c>
      <c r="D14" s="23" t="s">
        <v>47</v>
      </c>
      <c r="E14" s="23" t="s">
        <v>48</v>
      </c>
      <c r="F14" s="24" t="s">
        <v>77</v>
      </c>
      <c r="G14" s="25">
        <v>1</v>
      </c>
      <c r="H14" s="25" t="s">
        <v>50</v>
      </c>
      <c r="I14" s="26" t="s">
        <v>78</v>
      </c>
      <c r="J14" s="27" t="s">
        <v>62</v>
      </c>
      <c r="K14" s="27">
        <f>G14*K3</f>
        <v>300</v>
      </c>
      <c r="L14" s="30">
        <v>140</v>
      </c>
      <c r="M14" s="27">
        <f t="shared" si="0"/>
        <v>140</v>
      </c>
      <c r="N14" s="27">
        <f t="shared" si="1"/>
        <v>-160</v>
      </c>
      <c r="O14" s="27">
        <v>15</v>
      </c>
      <c r="P14" s="27">
        <f t="shared" si="2"/>
        <v>15</v>
      </c>
      <c r="Q14" s="27">
        <f t="shared" si="3"/>
        <v>4500</v>
      </c>
      <c r="R14" s="27">
        <v>100</v>
      </c>
      <c r="S14" s="27" t="s">
        <v>53</v>
      </c>
      <c r="T14" s="28"/>
    </row>
    <row r="15" ht="18" customHeight="1" spans="1:20">
      <c r="A15" s="20">
        <v>9</v>
      </c>
      <c r="B15" s="29" t="s">
        <v>79</v>
      </c>
      <c r="C15" s="22" t="s">
        <v>80</v>
      </c>
      <c r="D15" s="20" t="s">
        <v>60</v>
      </c>
      <c r="E15" s="23" t="s">
        <v>48</v>
      </c>
      <c r="F15" s="24" t="s">
        <v>81</v>
      </c>
      <c r="G15" s="25">
        <v>1</v>
      </c>
      <c r="H15" s="25" t="s">
        <v>50</v>
      </c>
      <c r="I15" s="26" t="s">
        <v>78</v>
      </c>
      <c r="J15" s="27" t="s">
        <v>62</v>
      </c>
      <c r="K15" s="27">
        <f>G15*K3</f>
        <v>300</v>
      </c>
      <c r="L15" s="30">
        <v>133</v>
      </c>
      <c r="M15" s="27">
        <f t="shared" si="0"/>
        <v>133</v>
      </c>
      <c r="N15" s="27">
        <f t="shared" si="1"/>
        <v>-167</v>
      </c>
      <c r="O15" s="27">
        <v>6.5</v>
      </c>
      <c r="P15" s="27">
        <f t="shared" si="2"/>
        <v>6.5</v>
      </c>
      <c r="Q15" s="27">
        <f t="shared" si="3"/>
        <v>1950</v>
      </c>
      <c r="R15" s="27">
        <v>100</v>
      </c>
      <c r="S15" s="27" t="s">
        <v>53</v>
      </c>
      <c r="T15" s="28"/>
    </row>
    <row r="16" ht="18" customHeight="1" spans="1:20">
      <c r="A16" s="20">
        <v>10</v>
      </c>
      <c r="B16" s="29" t="s">
        <v>82</v>
      </c>
      <c r="C16" s="22" t="s">
        <v>83</v>
      </c>
      <c r="D16" s="20" t="s">
        <v>60</v>
      </c>
      <c r="E16" s="23" t="s">
        <v>48</v>
      </c>
      <c r="F16" s="24" t="s">
        <v>77</v>
      </c>
      <c r="G16" s="25">
        <v>1</v>
      </c>
      <c r="H16" s="25" t="s">
        <v>50</v>
      </c>
      <c r="I16" s="26" t="s">
        <v>78</v>
      </c>
      <c r="J16" s="27" t="s">
        <v>62</v>
      </c>
      <c r="K16" s="27">
        <f>G16*K3</f>
        <v>300</v>
      </c>
      <c r="L16" s="30">
        <v>171</v>
      </c>
      <c r="M16" s="27">
        <f t="shared" si="0"/>
        <v>171</v>
      </c>
      <c r="N16" s="27">
        <f t="shared" si="1"/>
        <v>-129</v>
      </c>
      <c r="O16" s="27">
        <v>6</v>
      </c>
      <c r="P16" s="27">
        <f t="shared" si="2"/>
        <v>6</v>
      </c>
      <c r="Q16" s="27">
        <f t="shared" si="3"/>
        <v>1800</v>
      </c>
      <c r="R16" s="27">
        <v>100</v>
      </c>
      <c r="S16" s="27" t="s">
        <v>53</v>
      </c>
      <c r="T16" s="28"/>
    </row>
    <row r="17" ht="15.75" spans="1:20">
      <c r="A17" s="20">
        <v>11</v>
      </c>
      <c r="B17" s="29" t="s">
        <v>84</v>
      </c>
      <c r="C17" s="22" t="s">
        <v>85</v>
      </c>
      <c r="D17" s="20" t="s">
        <v>47</v>
      </c>
      <c r="E17" s="23" t="s">
        <v>48</v>
      </c>
      <c r="F17" s="24" t="s">
        <v>77</v>
      </c>
      <c r="G17" s="25">
        <v>1</v>
      </c>
      <c r="H17" s="25" t="s">
        <v>50</v>
      </c>
      <c r="I17" s="26" t="s">
        <v>78</v>
      </c>
      <c r="J17" s="27" t="s">
        <v>62</v>
      </c>
      <c r="K17" s="27">
        <f>G17*K3</f>
        <v>300</v>
      </c>
      <c r="L17" s="30">
        <v>198</v>
      </c>
      <c r="M17" s="27">
        <f t="shared" si="0"/>
        <v>198</v>
      </c>
      <c r="N17" s="27">
        <f t="shared" si="1"/>
        <v>-102</v>
      </c>
      <c r="O17" s="27">
        <v>6</v>
      </c>
      <c r="P17" s="27">
        <f t="shared" si="2"/>
        <v>6</v>
      </c>
      <c r="Q17" s="27">
        <f t="shared" si="3"/>
        <v>1800</v>
      </c>
      <c r="R17" s="27">
        <v>100</v>
      </c>
      <c r="S17" s="27" t="s">
        <v>53</v>
      </c>
      <c r="T17" s="28"/>
    </row>
    <row r="18" ht="18" customHeight="1" spans="1:20">
      <c r="A18" s="20">
        <v>12</v>
      </c>
      <c r="B18" s="29" t="s">
        <v>86</v>
      </c>
      <c r="C18" s="22" t="s">
        <v>87</v>
      </c>
      <c r="D18" s="20" t="s">
        <v>60</v>
      </c>
      <c r="E18" s="23" t="s">
        <v>48</v>
      </c>
      <c r="F18" s="24" t="s">
        <v>77</v>
      </c>
      <c r="G18" s="25">
        <v>1</v>
      </c>
      <c r="H18" s="25" t="s">
        <v>50</v>
      </c>
      <c r="I18" s="26" t="s">
        <v>78</v>
      </c>
      <c r="J18" s="27" t="s">
        <v>62</v>
      </c>
      <c r="K18" s="27">
        <f>G18*K3</f>
        <v>300</v>
      </c>
      <c r="L18" s="33">
        <v>135</v>
      </c>
      <c r="M18" s="27">
        <f t="shared" si="0"/>
        <v>135</v>
      </c>
      <c r="N18" s="27">
        <f t="shared" si="1"/>
        <v>-165</v>
      </c>
      <c r="O18" s="27">
        <v>60</v>
      </c>
      <c r="P18" s="27">
        <f t="shared" si="2"/>
        <v>60</v>
      </c>
      <c r="Q18" s="27">
        <f t="shared" si="3"/>
        <v>18000</v>
      </c>
      <c r="R18" s="27">
        <v>100</v>
      </c>
      <c r="S18" s="27" t="s">
        <v>53</v>
      </c>
      <c r="T18" s="28"/>
    </row>
    <row r="19" customFormat="1" ht="18" customHeight="1" spans="1:20">
      <c r="A19" s="20">
        <v>13</v>
      </c>
      <c r="B19" s="34" t="s">
        <v>88</v>
      </c>
      <c r="C19" s="22" t="s">
        <v>89</v>
      </c>
      <c r="D19" s="20" t="s">
        <v>72</v>
      </c>
      <c r="E19" s="23" t="s">
        <v>48</v>
      </c>
      <c r="F19" s="24" t="s">
        <v>90</v>
      </c>
      <c r="G19" s="25">
        <v>1</v>
      </c>
      <c r="H19" s="25" t="s">
        <v>50</v>
      </c>
      <c r="I19" s="26" t="s">
        <v>91</v>
      </c>
      <c r="J19" s="27" t="s">
        <v>52</v>
      </c>
      <c r="K19" s="27">
        <f>G19*K3</f>
        <v>300</v>
      </c>
      <c r="L19" s="27"/>
      <c r="M19" s="27">
        <f t="shared" si="0"/>
        <v>0</v>
      </c>
      <c r="N19" s="27">
        <f t="shared" si="1"/>
        <v>-300</v>
      </c>
      <c r="O19" s="27">
        <v>1900</v>
      </c>
      <c r="P19" s="27">
        <f t="shared" si="2"/>
        <v>1900</v>
      </c>
      <c r="Q19" s="27">
        <f t="shared" si="3"/>
        <v>570000</v>
      </c>
      <c r="R19" s="27">
        <v>100</v>
      </c>
      <c r="S19" s="27" t="s">
        <v>53</v>
      </c>
      <c r="T19" s="28"/>
    </row>
    <row r="20" customFormat="1" ht="18" customHeight="1" spans="1:20">
      <c r="A20" s="20">
        <v>14</v>
      </c>
      <c r="B20" s="29" t="s">
        <v>92</v>
      </c>
      <c r="C20" s="22" t="s">
        <v>93</v>
      </c>
      <c r="D20" s="20" t="s">
        <v>94</v>
      </c>
      <c r="E20" s="23" t="s">
        <v>48</v>
      </c>
      <c r="F20" s="24" t="s">
        <v>90</v>
      </c>
      <c r="G20" s="25">
        <v>3</v>
      </c>
      <c r="H20" s="25" t="s">
        <v>50</v>
      </c>
      <c r="I20" s="26" t="s">
        <v>91</v>
      </c>
      <c r="J20" s="27" t="s">
        <v>52</v>
      </c>
      <c r="K20" s="27">
        <f>G20*K3</f>
        <v>900</v>
      </c>
      <c r="L20" s="27"/>
      <c r="M20" s="35">
        <f t="shared" si="0"/>
        <v>0</v>
      </c>
      <c r="N20" s="35">
        <f t="shared" si="1"/>
        <v>-900</v>
      </c>
      <c r="O20" s="27">
        <f>(0.58*1)*350</f>
        <v>203</v>
      </c>
      <c r="P20" s="27">
        <f t="shared" si="2"/>
        <v>609</v>
      </c>
      <c r="Q20" s="27">
        <f t="shared" si="3"/>
        <v>548100</v>
      </c>
      <c r="R20" s="27">
        <v>100</v>
      </c>
      <c r="S20" s="27" t="s">
        <v>53</v>
      </c>
      <c r="T20" s="28"/>
    </row>
    <row r="21" customFormat="1" ht="18" customHeight="1" spans="1:20">
      <c r="A21" s="20">
        <v>15</v>
      </c>
      <c r="B21" s="29" t="s">
        <v>95</v>
      </c>
      <c r="C21" s="22" t="s">
        <v>96</v>
      </c>
      <c r="D21" s="20" t="s">
        <v>72</v>
      </c>
      <c r="E21" s="23" t="s">
        <v>48</v>
      </c>
      <c r="F21" s="24" t="s">
        <v>90</v>
      </c>
      <c r="G21" s="25">
        <v>1</v>
      </c>
      <c r="H21" s="25" t="s">
        <v>50</v>
      </c>
      <c r="I21" s="26" t="s">
        <v>91</v>
      </c>
      <c r="J21" s="27" t="s">
        <v>52</v>
      </c>
      <c r="K21" s="27">
        <f>G21*K3</f>
        <v>300</v>
      </c>
      <c r="L21" s="27"/>
      <c r="M21" s="27">
        <f t="shared" si="0"/>
        <v>0</v>
      </c>
      <c r="N21" s="27">
        <f t="shared" si="1"/>
        <v>-300</v>
      </c>
      <c r="O21" s="27">
        <f>(0.44*1)*350</f>
        <v>154</v>
      </c>
      <c r="P21" s="27">
        <f t="shared" si="2"/>
        <v>154</v>
      </c>
      <c r="Q21" s="27">
        <f t="shared" si="3"/>
        <v>46200</v>
      </c>
      <c r="R21" s="27">
        <v>100</v>
      </c>
      <c r="S21" s="27" t="s">
        <v>53</v>
      </c>
      <c r="T21" s="28"/>
    </row>
    <row r="22" ht="18" customHeight="1" spans="1:20">
      <c r="A22" s="20">
        <v>16</v>
      </c>
      <c r="B22" s="29" t="s">
        <v>97</v>
      </c>
      <c r="C22" s="22" t="s">
        <v>98</v>
      </c>
      <c r="D22" s="20" t="s">
        <v>60</v>
      </c>
      <c r="E22" s="23" t="s">
        <v>48</v>
      </c>
      <c r="F22" s="24" t="s">
        <v>99</v>
      </c>
      <c r="G22" s="25">
        <v>1</v>
      </c>
      <c r="H22" s="25" t="s">
        <v>50</v>
      </c>
      <c r="I22" s="26" t="s">
        <v>100</v>
      </c>
      <c r="J22" s="27" t="s">
        <v>52</v>
      </c>
      <c r="K22" s="27">
        <f>G22*K3</f>
        <v>300</v>
      </c>
      <c r="L22" s="27">
        <v>20</v>
      </c>
      <c r="M22" s="27">
        <f t="shared" si="0"/>
        <v>20</v>
      </c>
      <c r="N22" s="27">
        <f t="shared" si="1"/>
        <v>-280</v>
      </c>
      <c r="O22" s="27">
        <v>1450</v>
      </c>
      <c r="P22" s="27">
        <f t="shared" si="2"/>
        <v>1450</v>
      </c>
      <c r="Q22" s="27">
        <f t="shared" si="3"/>
        <v>435000</v>
      </c>
      <c r="R22" s="27">
        <v>100</v>
      </c>
      <c r="S22" s="27" t="s">
        <v>53</v>
      </c>
      <c r="T22" s="28"/>
    </row>
    <row r="23" ht="18" customHeight="1" spans="1:20">
      <c r="A23" s="20">
        <v>17</v>
      </c>
      <c r="B23" s="29" t="s">
        <v>101</v>
      </c>
      <c r="C23" s="22" t="s">
        <v>102</v>
      </c>
      <c r="D23" s="20" t="s">
        <v>60</v>
      </c>
      <c r="E23" s="23" t="s">
        <v>48</v>
      </c>
      <c r="F23" s="24" t="s">
        <v>103</v>
      </c>
      <c r="G23" s="25">
        <v>2</v>
      </c>
      <c r="H23" s="36" t="s">
        <v>50</v>
      </c>
      <c r="I23" s="26" t="s">
        <v>104</v>
      </c>
      <c r="J23" s="27" t="s">
        <v>52</v>
      </c>
      <c r="K23" s="27">
        <f>G23*K3</f>
        <v>600</v>
      </c>
      <c r="L23" s="32">
        <v>25</v>
      </c>
      <c r="M23" s="27">
        <f t="shared" si="0"/>
        <v>12.5</v>
      </c>
      <c r="N23" s="27">
        <f t="shared" si="1"/>
        <v>-587.5</v>
      </c>
      <c r="O23" s="27">
        <v>150</v>
      </c>
      <c r="P23" s="27">
        <f t="shared" si="2"/>
        <v>300</v>
      </c>
      <c r="Q23" s="27">
        <f t="shared" si="3"/>
        <v>180000</v>
      </c>
      <c r="R23" s="27">
        <v>100</v>
      </c>
      <c r="S23" s="27" t="s">
        <v>53</v>
      </c>
      <c r="T23" s="28"/>
    </row>
    <row r="24" customFormat="1" ht="18" customHeight="1" spans="1:20">
      <c r="A24" s="20">
        <v>18</v>
      </c>
      <c r="B24" s="29" t="s">
        <v>105</v>
      </c>
      <c r="C24" s="22" t="s">
        <v>106</v>
      </c>
      <c r="D24" s="20" t="s">
        <v>47</v>
      </c>
      <c r="E24" s="23" t="s">
        <v>48</v>
      </c>
      <c r="F24" s="24" t="s">
        <v>107</v>
      </c>
      <c r="G24" s="25">
        <v>1</v>
      </c>
      <c r="H24" s="25" t="s">
        <v>50</v>
      </c>
      <c r="I24" s="26" t="s">
        <v>108</v>
      </c>
      <c r="J24" s="27" t="s">
        <v>52</v>
      </c>
      <c r="K24" s="27">
        <f>G24*K3</f>
        <v>300</v>
      </c>
      <c r="L24" s="32">
        <v>58</v>
      </c>
      <c r="M24" s="27">
        <f t="shared" si="0"/>
        <v>58</v>
      </c>
      <c r="N24" s="27">
        <f t="shared" si="1"/>
        <v>-242</v>
      </c>
      <c r="O24" s="27">
        <v>542</v>
      </c>
      <c r="P24" s="27">
        <f t="shared" si="2"/>
        <v>542</v>
      </c>
      <c r="Q24" s="27">
        <f t="shared" si="3"/>
        <v>162600</v>
      </c>
      <c r="R24" s="27">
        <v>100</v>
      </c>
      <c r="S24" s="27" t="s">
        <v>53</v>
      </c>
      <c r="T24" s="28"/>
    </row>
    <row r="25" customFormat="1" ht="18" customHeight="1" spans="1:20">
      <c r="A25" s="20">
        <v>19</v>
      </c>
      <c r="B25" s="29" t="s">
        <v>105</v>
      </c>
      <c r="C25" s="22" t="s">
        <v>109</v>
      </c>
      <c r="D25" s="20" t="s">
        <v>47</v>
      </c>
      <c r="E25" s="23" t="s">
        <v>48</v>
      </c>
      <c r="F25" s="24" t="s">
        <v>110</v>
      </c>
      <c r="G25" s="25">
        <v>1</v>
      </c>
      <c r="H25" s="25" t="s">
        <v>50</v>
      </c>
      <c r="I25" s="26" t="s">
        <v>111</v>
      </c>
      <c r="J25" s="27" t="s">
        <v>62</v>
      </c>
      <c r="K25" s="27">
        <f>G25*K3</f>
        <v>300</v>
      </c>
      <c r="L25" s="37">
        <v>35</v>
      </c>
      <c r="M25" s="27">
        <f t="shared" si="0"/>
        <v>35</v>
      </c>
      <c r="N25" s="27">
        <f t="shared" si="1"/>
        <v>-265</v>
      </c>
      <c r="O25" s="27">
        <v>1100</v>
      </c>
      <c r="P25" s="27">
        <f t="shared" si="2"/>
        <v>1100</v>
      </c>
      <c r="Q25" s="27">
        <f t="shared" si="3"/>
        <v>330000</v>
      </c>
      <c r="R25" s="27">
        <v>100</v>
      </c>
      <c r="S25" s="27" t="s">
        <v>53</v>
      </c>
      <c r="T25" s="28"/>
    </row>
    <row r="26" ht="30" customHeight="1" spans="1:20">
      <c r="A26" s="20">
        <v>20</v>
      </c>
      <c r="B26" s="29" t="s">
        <v>112</v>
      </c>
      <c r="C26" s="22" t="s">
        <v>113</v>
      </c>
      <c r="D26" s="20" t="s">
        <v>60</v>
      </c>
      <c r="E26" s="23" t="s">
        <v>48</v>
      </c>
      <c r="F26" s="24" t="s">
        <v>114</v>
      </c>
      <c r="G26" s="25">
        <v>1</v>
      </c>
      <c r="H26" s="25" t="s">
        <v>50</v>
      </c>
      <c r="I26" s="26" t="s">
        <v>115</v>
      </c>
      <c r="J26" s="27" t="s">
        <v>62</v>
      </c>
      <c r="K26" s="27">
        <f>G26*K3</f>
        <v>300</v>
      </c>
      <c r="L26" s="37">
        <v>25</v>
      </c>
      <c r="M26" s="27">
        <f t="shared" ref="M26:M63" si="4">L26/G26</f>
        <v>25</v>
      </c>
      <c r="N26" s="27">
        <f t="shared" ref="N26:N28" si="5">M26-K26</f>
        <v>-275</v>
      </c>
      <c r="O26" s="27">
        <v>100</v>
      </c>
      <c r="P26" s="27">
        <f t="shared" si="2"/>
        <v>100</v>
      </c>
      <c r="Q26" s="27">
        <f t="shared" si="3"/>
        <v>30000</v>
      </c>
      <c r="R26" s="27">
        <v>100</v>
      </c>
      <c r="S26" s="27" t="s">
        <v>53</v>
      </c>
      <c r="T26" s="28"/>
    </row>
    <row r="27" ht="15.75" spans="1:20">
      <c r="A27" s="20">
        <v>21</v>
      </c>
      <c r="B27" s="29" t="s">
        <v>116</v>
      </c>
      <c r="C27" s="22" t="s">
        <v>117</v>
      </c>
      <c r="D27" s="20" t="s">
        <v>72</v>
      </c>
      <c r="E27" s="23" t="s">
        <v>48</v>
      </c>
      <c r="F27" s="24" t="s">
        <v>118</v>
      </c>
      <c r="G27" s="25">
        <v>1</v>
      </c>
      <c r="H27" s="25" t="s">
        <v>50</v>
      </c>
      <c r="I27" s="26" t="s">
        <v>115</v>
      </c>
      <c r="J27" s="27" t="s">
        <v>62</v>
      </c>
      <c r="K27" s="27">
        <f>G27*K3</f>
        <v>300</v>
      </c>
      <c r="L27" s="27">
        <v>100</v>
      </c>
      <c r="M27" s="27">
        <f t="shared" si="4"/>
        <v>100</v>
      </c>
      <c r="N27" s="27">
        <f t="shared" si="5"/>
        <v>-200</v>
      </c>
      <c r="O27" s="27">
        <v>65</v>
      </c>
      <c r="P27" s="27">
        <f t="shared" si="2"/>
        <v>65</v>
      </c>
      <c r="Q27" s="27">
        <f t="shared" si="3"/>
        <v>19500</v>
      </c>
      <c r="R27" s="27">
        <v>100</v>
      </c>
      <c r="S27" s="27" t="s">
        <v>53</v>
      </c>
      <c r="T27" s="28"/>
    </row>
    <row r="28" ht="18" customHeight="1" spans="1:20">
      <c r="A28" s="20">
        <v>22</v>
      </c>
      <c r="B28" s="38" t="s">
        <v>119</v>
      </c>
      <c r="C28" s="39" t="s">
        <v>120</v>
      </c>
      <c r="D28" s="20" t="s">
        <v>72</v>
      </c>
      <c r="E28" s="23" t="s">
        <v>121</v>
      </c>
      <c r="F28" s="24" t="s">
        <v>122</v>
      </c>
      <c r="G28" s="40">
        <v>1.92</v>
      </c>
      <c r="H28" s="25" t="s">
        <v>123</v>
      </c>
      <c r="I28" s="26" t="s">
        <v>124</v>
      </c>
      <c r="J28" s="27" t="s">
        <v>52</v>
      </c>
      <c r="K28" s="27">
        <f>G28*K3</f>
        <v>576</v>
      </c>
      <c r="L28" s="27">
        <v>250.276</v>
      </c>
      <c r="M28" s="41">
        <f t="shared" si="4"/>
        <v>130.352083333333</v>
      </c>
      <c r="N28" s="42">
        <f t="shared" si="5"/>
        <v>-445.647916666667</v>
      </c>
      <c r="O28" s="42">
        <v>1345</v>
      </c>
      <c r="P28" s="27">
        <f t="shared" si="2"/>
        <v>2582.4</v>
      </c>
      <c r="Q28" s="27">
        <f t="shared" si="3"/>
        <v>1487462.4</v>
      </c>
      <c r="R28" s="27">
        <v>100</v>
      </c>
      <c r="S28" s="27"/>
      <c r="T28" s="28"/>
    </row>
    <row r="29" ht="18" customHeight="1" spans="1:20">
      <c r="A29" s="20">
        <v>23</v>
      </c>
      <c r="B29" s="21" t="s">
        <v>125</v>
      </c>
      <c r="C29" s="22" t="s">
        <v>126</v>
      </c>
      <c r="D29" s="23" t="s">
        <v>60</v>
      </c>
      <c r="E29" s="23" t="s">
        <v>48</v>
      </c>
      <c r="F29" s="24" t="s">
        <v>127</v>
      </c>
      <c r="G29" s="43">
        <v>32</v>
      </c>
      <c r="H29" s="25" t="s">
        <v>50</v>
      </c>
      <c r="I29" s="26" t="s">
        <v>128</v>
      </c>
      <c r="J29" s="27" t="s">
        <v>129</v>
      </c>
      <c r="K29" s="27">
        <f>G29*K3</f>
        <v>9600</v>
      </c>
      <c r="L29" s="27">
        <v>5600</v>
      </c>
      <c r="M29" s="27">
        <f t="shared" si="4"/>
        <v>175</v>
      </c>
      <c r="N29" s="27">
        <f t="shared" ref="N29:N38" si="6">L29-K29</f>
        <v>-4000</v>
      </c>
      <c r="O29" s="27">
        <v>80</v>
      </c>
      <c r="P29" s="27">
        <f t="shared" si="2"/>
        <v>2560</v>
      </c>
      <c r="Q29" s="27">
        <f>P29</f>
        <v>2560</v>
      </c>
      <c r="R29" s="27">
        <v>5800</v>
      </c>
      <c r="S29" s="27" t="s">
        <v>130</v>
      </c>
      <c r="T29" s="28"/>
    </row>
    <row r="30" ht="18" customHeight="1" spans="1:20">
      <c r="A30" s="20">
        <v>24</v>
      </c>
      <c r="B30" s="21" t="s">
        <v>131</v>
      </c>
      <c r="C30" s="22" t="s">
        <v>132</v>
      </c>
      <c r="D30" s="23" t="s">
        <v>60</v>
      </c>
      <c r="E30" s="23" t="s">
        <v>48</v>
      </c>
      <c r="F30" s="24" t="s">
        <v>127</v>
      </c>
      <c r="G30" s="43">
        <v>16</v>
      </c>
      <c r="H30" s="25" t="s">
        <v>50</v>
      </c>
      <c r="I30" s="26" t="s">
        <v>128</v>
      </c>
      <c r="J30" s="27" t="s">
        <v>129</v>
      </c>
      <c r="K30" s="27">
        <f>G30*K3</f>
        <v>4800</v>
      </c>
      <c r="L30" s="27">
        <v>1600</v>
      </c>
      <c r="M30" s="27">
        <f t="shared" si="4"/>
        <v>100</v>
      </c>
      <c r="N30" s="27">
        <f t="shared" si="6"/>
        <v>-3200</v>
      </c>
      <c r="O30" s="27">
        <v>75</v>
      </c>
      <c r="P30" s="27">
        <f t="shared" si="2"/>
        <v>1200</v>
      </c>
      <c r="Q30" s="27">
        <f>P30</f>
        <v>1200</v>
      </c>
      <c r="R30" s="27">
        <v>1600</v>
      </c>
      <c r="S30" s="27" t="s">
        <v>130</v>
      </c>
      <c r="T30" s="28"/>
    </row>
    <row r="31" ht="18" customHeight="1" spans="1:20">
      <c r="A31" s="20">
        <v>25</v>
      </c>
      <c r="B31" s="21" t="s">
        <v>133</v>
      </c>
      <c r="C31" s="22" t="s">
        <v>134</v>
      </c>
      <c r="D31" s="20" t="s">
        <v>72</v>
      </c>
      <c r="E31" s="23" t="s">
        <v>48</v>
      </c>
      <c r="F31" s="24" t="s">
        <v>135</v>
      </c>
      <c r="G31" s="25">
        <v>1</v>
      </c>
      <c r="H31" s="25" t="s">
        <v>50</v>
      </c>
      <c r="I31" s="26"/>
      <c r="J31" s="27" t="s">
        <v>62</v>
      </c>
      <c r="K31" s="27">
        <f>G31*K3</f>
        <v>300</v>
      </c>
      <c r="L31" s="27">
        <v>100</v>
      </c>
      <c r="M31" s="27">
        <f t="shared" si="4"/>
        <v>100</v>
      </c>
      <c r="N31" s="27">
        <f>M31-K31</f>
        <v>-200</v>
      </c>
      <c r="O31" s="27">
        <v>1100</v>
      </c>
      <c r="P31" s="27">
        <f t="shared" si="2"/>
        <v>1100</v>
      </c>
      <c r="Q31" s="27">
        <f t="shared" si="3"/>
        <v>330000</v>
      </c>
      <c r="R31" s="27">
        <v>100</v>
      </c>
      <c r="S31" s="27"/>
      <c r="T31" s="28"/>
    </row>
    <row r="32" ht="18" customHeight="1" spans="1:20">
      <c r="A32" s="20">
        <v>26</v>
      </c>
      <c r="B32" s="21" t="s">
        <v>136</v>
      </c>
      <c r="C32" s="22" t="s">
        <v>137</v>
      </c>
      <c r="D32" s="20" t="s">
        <v>60</v>
      </c>
      <c r="E32" s="23" t="s">
        <v>121</v>
      </c>
      <c r="F32" s="24" t="s">
        <v>122</v>
      </c>
      <c r="G32" s="25">
        <v>0.019</v>
      </c>
      <c r="H32" s="25" t="s">
        <v>123</v>
      </c>
      <c r="I32" s="26" t="s">
        <v>138</v>
      </c>
      <c r="J32" s="27" t="s">
        <v>52</v>
      </c>
      <c r="K32" s="27">
        <f>G32*K7</f>
        <v>5.7</v>
      </c>
      <c r="L32" s="27"/>
      <c r="M32" s="41">
        <f t="shared" si="4"/>
        <v>0</v>
      </c>
      <c r="N32" s="27">
        <f t="shared" si="6"/>
        <v>-5.7</v>
      </c>
      <c r="O32" s="42">
        <v>1345</v>
      </c>
      <c r="P32" s="27">
        <f t="shared" si="2"/>
        <v>25.555</v>
      </c>
      <c r="Q32" s="27">
        <f t="shared" si="3"/>
        <v>145.6635</v>
      </c>
      <c r="R32" s="27">
        <v>5</v>
      </c>
      <c r="S32" s="27" t="s">
        <v>53</v>
      </c>
      <c r="T32" s="28"/>
    </row>
    <row r="33" ht="18" customHeight="1" spans="1:20">
      <c r="A33" s="20">
        <v>27</v>
      </c>
      <c r="B33" s="21" t="s">
        <v>139</v>
      </c>
      <c r="C33" s="22" t="s">
        <v>140</v>
      </c>
      <c r="D33" s="20" t="s">
        <v>47</v>
      </c>
      <c r="E33" s="23" t="s">
        <v>121</v>
      </c>
      <c r="F33" s="24" t="s">
        <v>122</v>
      </c>
      <c r="G33" s="25">
        <v>0.0006</v>
      </c>
      <c r="H33" s="25" t="s">
        <v>123</v>
      </c>
      <c r="I33" s="26" t="s">
        <v>138</v>
      </c>
      <c r="J33" s="27" t="s">
        <v>52</v>
      </c>
      <c r="K33" s="27">
        <f>G33*K3</f>
        <v>0.18</v>
      </c>
      <c r="L33" s="33">
        <v>0</v>
      </c>
      <c r="M33" s="41">
        <f t="shared" si="4"/>
        <v>0</v>
      </c>
      <c r="N33" s="27">
        <f t="shared" si="6"/>
        <v>-0.18</v>
      </c>
      <c r="O33" s="42">
        <v>1345</v>
      </c>
      <c r="P33" s="27">
        <f t="shared" si="2"/>
        <v>0.807</v>
      </c>
      <c r="Q33" s="27">
        <f t="shared" si="3"/>
        <v>0.14526</v>
      </c>
      <c r="R33" s="27">
        <v>5</v>
      </c>
      <c r="S33" s="27" t="s">
        <v>53</v>
      </c>
      <c r="T33" s="28"/>
    </row>
    <row r="34" ht="18" customHeight="1" spans="1:20">
      <c r="A34" s="20">
        <v>28</v>
      </c>
      <c r="B34" s="21" t="s">
        <v>141</v>
      </c>
      <c r="C34" s="22" t="s">
        <v>142</v>
      </c>
      <c r="D34" s="20" t="s">
        <v>47</v>
      </c>
      <c r="E34" s="23" t="s">
        <v>121</v>
      </c>
      <c r="F34" s="24" t="s">
        <v>122</v>
      </c>
      <c r="G34" s="25">
        <v>3</v>
      </c>
      <c r="H34" s="25" t="s">
        <v>143</v>
      </c>
      <c r="I34" s="26" t="s">
        <v>144</v>
      </c>
      <c r="J34" s="27" t="s">
        <v>62</v>
      </c>
      <c r="K34" s="27">
        <f>G34*K3</f>
        <v>900</v>
      </c>
      <c r="L34" s="33">
        <v>250</v>
      </c>
      <c r="M34" s="41">
        <f t="shared" si="4"/>
        <v>83.3333333333333</v>
      </c>
      <c r="N34" s="27">
        <f t="shared" si="6"/>
        <v>-650</v>
      </c>
      <c r="O34" s="27">
        <v>5.5</v>
      </c>
      <c r="P34" s="27">
        <f t="shared" si="2"/>
        <v>16.5</v>
      </c>
      <c r="Q34" s="27">
        <f t="shared" si="3"/>
        <v>14850</v>
      </c>
      <c r="R34" s="27">
        <v>500</v>
      </c>
      <c r="S34" s="27" t="s">
        <v>53</v>
      </c>
      <c r="T34" s="28"/>
    </row>
    <row r="35" ht="18" customHeight="1" spans="1:20">
      <c r="A35" s="20">
        <v>29</v>
      </c>
      <c r="B35" s="21" t="s">
        <v>145</v>
      </c>
      <c r="C35" s="22" t="s">
        <v>146</v>
      </c>
      <c r="D35" s="20" t="s">
        <v>72</v>
      </c>
      <c r="E35" s="23" t="s">
        <v>121</v>
      </c>
      <c r="F35" s="24" t="s">
        <v>122</v>
      </c>
      <c r="G35" s="25">
        <v>3</v>
      </c>
      <c r="H35" s="25" t="s">
        <v>50</v>
      </c>
      <c r="I35" s="26" t="s">
        <v>147</v>
      </c>
      <c r="J35" s="27" t="s">
        <v>62</v>
      </c>
      <c r="K35" s="27">
        <f>G35*K3</f>
        <v>900</v>
      </c>
      <c r="L35" s="37">
        <v>0</v>
      </c>
      <c r="M35" s="41">
        <f t="shared" si="4"/>
        <v>0</v>
      </c>
      <c r="N35" s="27">
        <f t="shared" si="6"/>
        <v>-900</v>
      </c>
      <c r="O35" s="27">
        <v>25.32</v>
      </c>
      <c r="P35" s="27">
        <f t="shared" si="2"/>
        <v>75.96</v>
      </c>
      <c r="Q35" s="27">
        <f t="shared" si="3"/>
        <v>68364</v>
      </c>
      <c r="R35" s="27">
        <v>500</v>
      </c>
      <c r="S35" s="27" t="s">
        <v>53</v>
      </c>
      <c r="T35" s="28"/>
    </row>
    <row r="36" ht="18" customHeight="1" spans="1:20">
      <c r="A36" s="20">
        <v>30</v>
      </c>
      <c r="B36" s="21" t="s">
        <v>148</v>
      </c>
      <c r="C36" s="22" t="s">
        <v>149</v>
      </c>
      <c r="D36" s="20" t="s">
        <v>72</v>
      </c>
      <c r="E36" s="23" t="s">
        <v>121</v>
      </c>
      <c r="F36" s="24" t="s">
        <v>122</v>
      </c>
      <c r="G36" s="40">
        <v>0.15</v>
      </c>
      <c r="H36" s="25" t="s">
        <v>123</v>
      </c>
      <c r="I36" s="26" t="s">
        <v>150</v>
      </c>
      <c r="J36" s="27" t="s">
        <v>52</v>
      </c>
      <c r="K36" s="27">
        <f>G36*K3</f>
        <v>45</v>
      </c>
      <c r="L36" s="33">
        <v>30</v>
      </c>
      <c r="M36" s="41">
        <f t="shared" si="4"/>
        <v>200</v>
      </c>
      <c r="N36" s="27">
        <f t="shared" si="6"/>
        <v>-15</v>
      </c>
      <c r="O36" s="27">
        <v>690</v>
      </c>
      <c r="P36" s="27">
        <f t="shared" si="2"/>
        <v>103.5</v>
      </c>
      <c r="Q36" s="27">
        <f t="shared" si="3"/>
        <v>4657.5</v>
      </c>
      <c r="R36" s="27">
        <v>40</v>
      </c>
      <c r="S36" s="27" t="s">
        <v>53</v>
      </c>
      <c r="T36" s="28"/>
    </row>
    <row r="37" ht="18" customHeight="1" spans="1:20">
      <c r="A37" s="20">
        <v>31</v>
      </c>
      <c r="B37" s="21" t="s">
        <v>151</v>
      </c>
      <c r="C37" s="22" t="s">
        <v>152</v>
      </c>
      <c r="D37" s="20" t="s">
        <v>47</v>
      </c>
      <c r="E37" s="23" t="s">
        <v>121</v>
      </c>
      <c r="F37" s="24" t="s">
        <v>122</v>
      </c>
      <c r="G37" s="25">
        <v>0.09</v>
      </c>
      <c r="H37" s="25" t="s">
        <v>143</v>
      </c>
      <c r="I37" s="26" t="s">
        <v>153</v>
      </c>
      <c r="J37" s="27" t="s">
        <v>62</v>
      </c>
      <c r="K37" s="27">
        <f>G37*K3</f>
        <v>27</v>
      </c>
      <c r="L37" s="33">
        <v>100</v>
      </c>
      <c r="M37" s="41">
        <f t="shared" si="4"/>
        <v>1111.11111111111</v>
      </c>
      <c r="N37" s="27">
        <f t="shared" si="6"/>
        <v>73</v>
      </c>
      <c r="O37" s="27">
        <v>75</v>
      </c>
      <c r="P37" s="27">
        <f t="shared" si="2"/>
        <v>6.75</v>
      </c>
      <c r="Q37" s="27">
        <f t="shared" si="3"/>
        <v>182.25</v>
      </c>
      <c r="R37" s="27">
        <v>100</v>
      </c>
      <c r="S37" s="27" t="s">
        <v>53</v>
      </c>
      <c r="T37" s="28"/>
    </row>
    <row r="38" ht="18" customHeight="1" spans="1:20">
      <c r="A38" s="20">
        <v>32</v>
      </c>
      <c r="B38" s="21" t="s">
        <v>154</v>
      </c>
      <c r="C38" s="22" t="s">
        <v>155</v>
      </c>
      <c r="D38" s="20" t="s">
        <v>72</v>
      </c>
      <c r="E38" s="23" t="s">
        <v>121</v>
      </c>
      <c r="F38" s="24" t="s">
        <v>122</v>
      </c>
      <c r="G38" s="25">
        <v>3</v>
      </c>
      <c r="H38" s="25" t="s">
        <v>50</v>
      </c>
      <c r="I38" s="26" t="s">
        <v>156</v>
      </c>
      <c r="J38" s="27" t="s">
        <v>62</v>
      </c>
      <c r="K38" s="27">
        <f>G38*K3</f>
        <v>900</v>
      </c>
      <c r="L38" s="37">
        <v>118</v>
      </c>
      <c r="M38" s="41">
        <f t="shared" si="4"/>
        <v>39.3333333333333</v>
      </c>
      <c r="N38" s="27">
        <f t="shared" si="6"/>
        <v>-782</v>
      </c>
      <c r="O38" s="27">
        <v>12</v>
      </c>
      <c r="P38" s="27">
        <f t="shared" si="2"/>
        <v>36</v>
      </c>
      <c r="Q38" s="27">
        <f t="shared" si="3"/>
        <v>32400</v>
      </c>
      <c r="R38" s="27">
        <v>500</v>
      </c>
      <c r="S38" s="27" t="s">
        <v>53</v>
      </c>
      <c r="T38" s="28"/>
    </row>
    <row r="39" ht="18" customHeight="1" spans="1:20">
      <c r="A39" s="20">
        <v>33</v>
      </c>
      <c r="B39" s="21" t="s">
        <v>157</v>
      </c>
      <c r="C39" s="22" t="s">
        <v>158</v>
      </c>
      <c r="D39" s="20" t="s">
        <v>72</v>
      </c>
      <c r="E39" s="23" t="s">
        <v>121</v>
      </c>
      <c r="F39" s="24" t="s">
        <v>122</v>
      </c>
      <c r="G39" s="44">
        <v>2</v>
      </c>
      <c r="H39" s="36" t="s">
        <v>50</v>
      </c>
      <c r="I39" s="26" t="s">
        <v>159</v>
      </c>
      <c r="J39" s="27" t="s">
        <v>62</v>
      </c>
      <c r="K39" s="27">
        <f>G39*K3</f>
        <v>600</v>
      </c>
      <c r="L39" s="33">
        <v>400</v>
      </c>
      <c r="M39" s="41">
        <f t="shared" si="4"/>
        <v>200</v>
      </c>
      <c r="N39" s="27">
        <f t="shared" ref="N39:N62" si="7">M39-K39</f>
        <v>-400</v>
      </c>
      <c r="O39" s="27">
        <v>20</v>
      </c>
      <c r="P39" s="27">
        <f t="shared" si="2"/>
        <v>40</v>
      </c>
      <c r="Q39" s="27">
        <f t="shared" si="3"/>
        <v>24000</v>
      </c>
      <c r="R39" s="27">
        <v>500</v>
      </c>
      <c r="S39" s="27" t="s">
        <v>53</v>
      </c>
      <c r="T39" s="28"/>
    </row>
    <row r="40" ht="18" customHeight="1" spans="1:20">
      <c r="A40" s="20">
        <v>34</v>
      </c>
      <c r="B40" s="21" t="s">
        <v>160</v>
      </c>
      <c r="C40" s="22" t="s">
        <v>161</v>
      </c>
      <c r="D40" s="20" t="s">
        <v>60</v>
      </c>
      <c r="E40" s="23" t="s">
        <v>121</v>
      </c>
      <c r="F40" s="24" t="s">
        <v>122</v>
      </c>
      <c r="G40" s="25">
        <v>1</v>
      </c>
      <c r="H40" s="25" t="s">
        <v>50</v>
      </c>
      <c r="I40" s="26" t="s">
        <v>162</v>
      </c>
      <c r="J40" s="27" t="s">
        <v>52</v>
      </c>
      <c r="K40" s="27">
        <f>G40*K3</f>
        <v>300</v>
      </c>
      <c r="L40" s="30">
        <v>894</v>
      </c>
      <c r="M40" s="41">
        <f t="shared" si="4"/>
        <v>894</v>
      </c>
      <c r="N40" s="27">
        <f t="shared" si="7"/>
        <v>594</v>
      </c>
      <c r="O40" s="27">
        <v>15</v>
      </c>
      <c r="P40" s="27">
        <f t="shared" si="2"/>
        <v>15</v>
      </c>
      <c r="Q40" s="27">
        <f t="shared" si="3"/>
        <v>4500</v>
      </c>
      <c r="R40" s="27">
        <v>1000</v>
      </c>
      <c r="S40" s="27" t="s">
        <v>53</v>
      </c>
      <c r="T40" s="28"/>
    </row>
    <row r="41" ht="18" customHeight="1" spans="1:20">
      <c r="A41" s="20">
        <v>35</v>
      </c>
      <c r="B41" s="21" t="s">
        <v>163</v>
      </c>
      <c r="C41" s="22" t="s">
        <v>164</v>
      </c>
      <c r="D41" s="20" t="s">
        <v>94</v>
      </c>
      <c r="E41" s="23" t="s">
        <v>121</v>
      </c>
      <c r="F41" s="24" t="s">
        <v>122</v>
      </c>
      <c r="G41" s="25">
        <v>1</v>
      </c>
      <c r="H41" s="25" t="s">
        <v>50</v>
      </c>
      <c r="I41" s="26" t="s">
        <v>162</v>
      </c>
      <c r="J41" s="27" t="s">
        <v>52</v>
      </c>
      <c r="K41" s="27">
        <f>G41*K3</f>
        <v>300</v>
      </c>
      <c r="L41" s="30">
        <v>66</v>
      </c>
      <c r="M41" s="41">
        <f t="shared" si="4"/>
        <v>66</v>
      </c>
      <c r="N41" s="27">
        <f t="shared" si="7"/>
        <v>-234</v>
      </c>
      <c r="O41" s="27">
        <v>45</v>
      </c>
      <c r="P41" s="27">
        <f t="shared" si="2"/>
        <v>45</v>
      </c>
      <c r="Q41" s="27">
        <f t="shared" si="3"/>
        <v>13500</v>
      </c>
      <c r="R41" s="27">
        <v>1000</v>
      </c>
      <c r="S41" s="27" t="s">
        <v>53</v>
      </c>
      <c r="T41" s="28"/>
    </row>
    <row r="42" ht="18" customHeight="1" spans="1:20">
      <c r="A42" s="20">
        <v>36</v>
      </c>
      <c r="B42" s="21" t="s">
        <v>165</v>
      </c>
      <c r="C42" s="22" t="s">
        <v>166</v>
      </c>
      <c r="D42" s="20" t="s">
        <v>72</v>
      </c>
      <c r="E42" s="23" t="s">
        <v>121</v>
      </c>
      <c r="F42" s="24" t="s">
        <v>122</v>
      </c>
      <c r="G42" s="25">
        <v>1</v>
      </c>
      <c r="H42" s="25" t="s">
        <v>50</v>
      </c>
      <c r="I42" s="26" t="s">
        <v>167</v>
      </c>
      <c r="J42" s="27" t="s">
        <v>52</v>
      </c>
      <c r="K42" s="27">
        <f>G42*K3</f>
        <v>300</v>
      </c>
      <c r="L42" s="32">
        <v>45</v>
      </c>
      <c r="M42" s="41">
        <f t="shared" si="4"/>
        <v>45</v>
      </c>
      <c r="N42" s="27">
        <f t="shared" si="7"/>
        <v>-255</v>
      </c>
      <c r="O42" s="27">
        <v>243.83</v>
      </c>
      <c r="P42" s="27">
        <f t="shared" si="2"/>
        <v>243.83</v>
      </c>
      <c r="Q42" s="27">
        <f t="shared" si="3"/>
        <v>73149</v>
      </c>
      <c r="R42" s="27">
        <v>1000</v>
      </c>
      <c r="S42" s="27" t="s">
        <v>53</v>
      </c>
      <c r="T42" s="28"/>
    </row>
    <row r="43" ht="18" customHeight="1" spans="1:20">
      <c r="A43" s="20">
        <v>37</v>
      </c>
      <c r="B43" s="21" t="s">
        <v>168</v>
      </c>
      <c r="C43" s="22" t="s">
        <v>169</v>
      </c>
      <c r="D43" s="20" t="s">
        <v>72</v>
      </c>
      <c r="E43" s="23" t="s">
        <v>121</v>
      </c>
      <c r="F43" s="24" t="s">
        <v>122</v>
      </c>
      <c r="G43" s="25">
        <v>1</v>
      </c>
      <c r="H43" s="25" t="s">
        <v>50</v>
      </c>
      <c r="I43" s="26" t="s">
        <v>167</v>
      </c>
      <c r="J43" s="27" t="s">
        <v>52</v>
      </c>
      <c r="K43" s="27">
        <f>G43*K3</f>
        <v>300</v>
      </c>
      <c r="L43" s="32">
        <v>20</v>
      </c>
      <c r="M43" s="41">
        <f t="shared" si="4"/>
        <v>20</v>
      </c>
      <c r="N43" s="27">
        <f t="shared" si="7"/>
        <v>-280</v>
      </c>
      <c r="O43" s="27">
        <v>146.75</v>
      </c>
      <c r="P43" s="27">
        <f t="shared" si="2"/>
        <v>146.75</v>
      </c>
      <c r="Q43" s="27">
        <f t="shared" si="3"/>
        <v>44025</v>
      </c>
      <c r="R43" s="27">
        <v>1000</v>
      </c>
      <c r="S43" s="27" t="s">
        <v>130</v>
      </c>
      <c r="T43" s="28"/>
    </row>
    <row r="44" ht="18" customHeight="1" spans="1:20">
      <c r="A44" s="20">
        <v>38</v>
      </c>
      <c r="B44" s="21" t="s">
        <v>170</v>
      </c>
      <c r="C44" s="22" t="s">
        <v>171</v>
      </c>
      <c r="D44" s="20" t="s">
        <v>60</v>
      </c>
      <c r="E44" s="23" t="s">
        <v>121</v>
      </c>
      <c r="F44" s="24" t="s">
        <v>122</v>
      </c>
      <c r="G44" s="25">
        <v>1</v>
      </c>
      <c r="H44" s="25" t="s">
        <v>50</v>
      </c>
      <c r="I44" s="26" t="s">
        <v>162</v>
      </c>
      <c r="J44" s="27" t="s">
        <v>52</v>
      </c>
      <c r="K44" s="27">
        <f>G44*K3</f>
        <v>300</v>
      </c>
      <c r="L44" s="30">
        <v>69</v>
      </c>
      <c r="M44" s="41">
        <f t="shared" si="4"/>
        <v>69</v>
      </c>
      <c r="N44" s="27">
        <f t="shared" si="7"/>
        <v>-231</v>
      </c>
      <c r="O44" s="27">
        <v>16</v>
      </c>
      <c r="P44" s="27">
        <f t="shared" si="2"/>
        <v>16</v>
      </c>
      <c r="Q44" s="27">
        <f t="shared" si="3"/>
        <v>4800</v>
      </c>
      <c r="R44" s="27">
        <v>1000</v>
      </c>
      <c r="S44" s="27" t="s">
        <v>53</v>
      </c>
      <c r="T44" s="28"/>
    </row>
    <row r="45" ht="18" customHeight="1" spans="1:20">
      <c r="A45" s="20">
        <v>39</v>
      </c>
      <c r="B45" s="21" t="s">
        <v>172</v>
      </c>
      <c r="C45" s="22" t="s">
        <v>173</v>
      </c>
      <c r="D45" s="20" t="s">
        <v>72</v>
      </c>
      <c r="E45" s="23" t="s">
        <v>121</v>
      </c>
      <c r="F45" s="24" t="s">
        <v>122</v>
      </c>
      <c r="G45" s="25">
        <v>3</v>
      </c>
      <c r="H45" s="25" t="s">
        <v>50</v>
      </c>
      <c r="I45" s="26" t="s">
        <v>162</v>
      </c>
      <c r="J45" s="27" t="s">
        <v>52</v>
      </c>
      <c r="K45" s="27">
        <f>G45*K3</f>
        <v>900</v>
      </c>
      <c r="L45" s="32">
        <v>18</v>
      </c>
      <c r="M45" s="41">
        <f t="shared" si="4"/>
        <v>6</v>
      </c>
      <c r="N45" s="41">
        <f t="shared" si="7"/>
        <v>-894</v>
      </c>
      <c r="O45" s="41">
        <v>14</v>
      </c>
      <c r="P45" s="27">
        <f t="shared" si="2"/>
        <v>42</v>
      </c>
      <c r="Q45" s="27">
        <f t="shared" si="3"/>
        <v>37800</v>
      </c>
      <c r="R45" s="27">
        <v>1000</v>
      </c>
      <c r="S45" s="27" t="s">
        <v>53</v>
      </c>
      <c r="T45" s="28"/>
    </row>
    <row r="46" ht="18" customHeight="1" spans="1:20">
      <c r="A46" s="20">
        <v>40</v>
      </c>
      <c r="B46" s="21" t="s">
        <v>174</v>
      </c>
      <c r="C46" s="22" t="s">
        <v>175</v>
      </c>
      <c r="D46" s="20" t="s">
        <v>72</v>
      </c>
      <c r="E46" s="23" t="s">
        <v>121</v>
      </c>
      <c r="F46" s="24" t="s">
        <v>122</v>
      </c>
      <c r="G46" s="25">
        <v>1</v>
      </c>
      <c r="H46" s="25" t="s">
        <v>50</v>
      </c>
      <c r="I46" s="26" t="s">
        <v>176</v>
      </c>
      <c r="J46" s="27" t="s">
        <v>52</v>
      </c>
      <c r="K46" s="27">
        <f>G46*K3</f>
        <v>300</v>
      </c>
      <c r="L46" s="32">
        <v>57</v>
      </c>
      <c r="M46" s="41">
        <f t="shared" si="4"/>
        <v>57</v>
      </c>
      <c r="N46" s="27">
        <f t="shared" si="7"/>
        <v>-243</v>
      </c>
      <c r="O46" s="27">
        <v>650</v>
      </c>
      <c r="P46" s="27">
        <f t="shared" si="2"/>
        <v>650</v>
      </c>
      <c r="Q46" s="27">
        <f t="shared" si="3"/>
        <v>195000</v>
      </c>
      <c r="R46" s="27">
        <v>1000</v>
      </c>
      <c r="S46" s="27" t="s">
        <v>53</v>
      </c>
      <c r="T46" s="28"/>
    </row>
    <row r="47" ht="18" customHeight="1" spans="1:20">
      <c r="A47" s="20">
        <v>41</v>
      </c>
      <c r="B47" s="21" t="s">
        <v>177</v>
      </c>
      <c r="C47" s="22" t="s">
        <v>178</v>
      </c>
      <c r="D47" s="20" t="s">
        <v>47</v>
      </c>
      <c r="E47" s="23" t="s">
        <v>121</v>
      </c>
      <c r="F47" s="24" t="s">
        <v>122</v>
      </c>
      <c r="G47" s="25">
        <v>1</v>
      </c>
      <c r="H47" s="25" t="s">
        <v>50</v>
      </c>
      <c r="I47" s="45" t="s">
        <v>179</v>
      </c>
      <c r="J47" s="27" t="s">
        <v>52</v>
      </c>
      <c r="K47" s="27">
        <f>G47*K3</f>
        <v>300</v>
      </c>
      <c r="L47" s="27">
        <v>200</v>
      </c>
      <c r="M47" s="41">
        <f t="shared" si="4"/>
        <v>200</v>
      </c>
      <c r="N47" s="27">
        <f t="shared" si="7"/>
        <v>-100</v>
      </c>
      <c r="O47" s="27">
        <v>109</v>
      </c>
      <c r="P47" s="27">
        <f t="shared" si="2"/>
        <v>109</v>
      </c>
      <c r="Q47" s="27">
        <f t="shared" si="3"/>
        <v>32700</v>
      </c>
      <c r="R47" s="27">
        <v>500</v>
      </c>
      <c r="S47" s="27" t="s">
        <v>180</v>
      </c>
      <c r="T47" s="28"/>
    </row>
    <row r="48" ht="18" customHeight="1" spans="1:20">
      <c r="A48" s="20">
        <v>42</v>
      </c>
      <c r="B48" s="21" t="s">
        <v>181</v>
      </c>
      <c r="C48" s="22" t="s">
        <v>182</v>
      </c>
      <c r="D48" s="20" t="s">
        <v>60</v>
      </c>
      <c r="E48" s="23" t="s">
        <v>121</v>
      </c>
      <c r="F48" s="24" t="s">
        <v>122</v>
      </c>
      <c r="G48" s="25">
        <v>1</v>
      </c>
      <c r="H48" s="25" t="s">
        <v>50</v>
      </c>
      <c r="I48" s="26" t="s">
        <v>183</v>
      </c>
      <c r="J48" s="27" t="s">
        <v>62</v>
      </c>
      <c r="K48" s="27">
        <f>G48*K3</f>
        <v>300</v>
      </c>
      <c r="L48" s="27">
        <v>24</v>
      </c>
      <c r="M48" s="41">
        <f t="shared" si="4"/>
        <v>24</v>
      </c>
      <c r="N48" s="27">
        <f t="shared" si="7"/>
        <v>-276</v>
      </c>
      <c r="O48" s="27">
        <v>19</v>
      </c>
      <c r="P48" s="27">
        <f t="shared" si="2"/>
        <v>19</v>
      </c>
      <c r="Q48" s="27">
        <f t="shared" si="3"/>
        <v>5700</v>
      </c>
      <c r="R48" s="27">
        <v>1000</v>
      </c>
      <c r="S48" s="27" t="s">
        <v>53</v>
      </c>
      <c r="T48" s="28"/>
    </row>
    <row r="49" ht="18" customHeight="1" spans="1:21">
      <c r="A49" s="20">
        <v>43</v>
      </c>
      <c r="B49" s="21" t="s">
        <v>184</v>
      </c>
      <c r="C49" s="22" t="s">
        <v>185</v>
      </c>
      <c r="D49" s="20" t="s">
        <v>60</v>
      </c>
      <c r="E49" s="23" t="s">
        <v>121</v>
      </c>
      <c r="F49" s="24" t="s">
        <v>122</v>
      </c>
      <c r="G49" s="25">
        <v>6</v>
      </c>
      <c r="H49" s="25" t="s">
        <v>50</v>
      </c>
      <c r="I49" s="26" t="s">
        <v>162</v>
      </c>
      <c r="J49" s="27" t="s">
        <v>52</v>
      </c>
      <c r="K49" s="27">
        <f>G49*K3</f>
        <v>1800</v>
      </c>
      <c r="L49" s="30">
        <v>883</v>
      </c>
      <c r="M49" s="41">
        <f t="shared" si="4"/>
        <v>147.166666666667</v>
      </c>
      <c r="N49" s="35">
        <f t="shared" si="7"/>
        <v>-1652.83333333333</v>
      </c>
      <c r="O49" s="27">
        <v>26.3</v>
      </c>
      <c r="P49" s="27">
        <f t="shared" si="2"/>
        <v>157.8</v>
      </c>
      <c r="Q49" s="27">
        <f t="shared" si="3"/>
        <v>284040</v>
      </c>
      <c r="R49" s="27">
        <v>1000</v>
      </c>
      <c r="S49" s="27" t="s">
        <v>53</v>
      </c>
      <c r="T49" s="28"/>
      <c r="U49" s="46"/>
    </row>
    <row r="50" ht="18" customHeight="1" spans="1:21">
      <c r="A50" s="20">
        <v>44</v>
      </c>
      <c r="B50" s="21" t="s">
        <v>186</v>
      </c>
      <c r="C50" s="22" t="s">
        <v>187</v>
      </c>
      <c r="D50" s="20" t="s">
        <v>72</v>
      </c>
      <c r="E50" s="23" t="s">
        <v>121</v>
      </c>
      <c r="F50" s="24" t="s">
        <v>122</v>
      </c>
      <c r="G50" s="25">
        <v>5</v>
      </c>
      <c r="H50" s="25" t="s">
        <v>50</v>
      </c>
      <c r="I50" s="26" t="s">
        <v>162</v>
      </c>
      <c r="J50" s="27" t="s">
        <v>52</v>
      </c>
      <c r="K50" s="27">
        <f>G50*K3</f>
        <v>1500</v>
      </c>
      <c r="L50" s="30">
        <f>279+500</f>
        <v>779</v>
      </c>
      <c r="M50" s="41">
        <f t="shared" si="4"/>
        <v>155.8</v>
      </c>
      <c r="N50" s="27">
        <f t="shared" si="7"/>
        <v>-1344.2</v>
      </c>
      <c r="O50" s="27">
        <v>24.15</v>
      </c>
      <c r="P50" s="27">
        <f t="shared" si="2"/>
        <v>120.75</v>
      </c>
      <c r="Q50" s="27">
        <f t="shared" si="3"/>
        <v>181125</v>
      </c>
      <c r="R50" s="27">
        <v>1000</v>
      </c>
      <c r="S50" s="27" t="s">
        <v>53</v>
      </c>
      <c r="T50" s="28"/>
    </row>
    <row r="51" ht="18" customHeight="1" spans="1:21">
      <c r="A51" s="20">
        <v>45</v>
      </c>
      <c r="B51" s="21" t="s">
        <v>188</v>
      </c>
      <c r="C51" s="22" t="s">
        <v>189</v>
      </c>
      <c r="D51" s="20" t="s">
        <v>72</v>
      </c>
      <c r="E51" s="23" t="s">
        <v>121</v>
      </c>
      <c r="F51" s="24" t="s">
        <v>122</v>
      </c>
      <c r="G51" s="25">
        <v>17</v>
      </c>
      <c r="H51" s="25" t="s">
        <v>50</v>
      </c>
      <c r="I51" s="26" t="s">
        <v>162</v>
      </c>
      <c r="J51" s="27" t="s">
        <v>52</v>
      </c>
      <c r="K51" s="27">
        <f>G51*K3</f>
        <v>5100</v>
      </c>
      <c r="L51" s="30">
        <v>1600</v>
      </c>
      <c r="M51" s="41">
        <f t="shared" si="4"/>
        <v>94.1176470588235</v>
      </c>
      <c r="N51" s="35">
        <f t="shared" si="7"/>
        <v>-5005.88235294118</v>
      </c>
      <c r="O51" s="27">
        <v>23.5</v>
      </c>
      <c r="P51" s="27">
        <f t="shared" si="2"/>
        <v>399.5</v>
      </c>
      <c r="Q51" s="27">
        <f t="shared" si="3"/>
        <v>2037450</v>
      </c>
      <c r="R51" s="27">
        <v>1000</v>
      </c>
      <c r="S51" s="27" t="s">
        <v>53</v>
      </c>
      <c r="T51" s="28"/>
    </row>
    <row r="52" ht="18" customHeight="1" spans="1:21">
      <c r="A52" s="20">
        <v>46</v>
      </c>
      <c r="B52" s="21" t="s">
        <v>190</v>
      </c>
      <c r="C52" s="22" t="s">
        <v>191</v>
      </c>
      <c r="D52" s="20" t="s">
        <v>72</v>
      </c>
      <c r="E52" s="23" t="s">
        <v>121</v>
      </c>
      <c r="F52" s="24" t="s">
        <v>122</v>
      </c>
      <c r="G52" s="25">
        <v>3</v>
      </c>
      <c r="H52" s="25" t="s">
        <v>50</v>
      </c>
      <c r="I52" s="26" t="s">
        <v>162</v>
      </c>
      <c r="J52" s="27" t="s">
        <v>52</v>
      </c>
      <c r="K52" s="27">
        <f>G52*K3</f>
        <v>900</v>
      </c>
      <c r="L52" s="30">
        <v>300</v>
      </c>
      <c r="M52" s="41">
        <f t="shared" si="4"/>
        <v>100</v>
      </c>
      <c r="N52" s="35">
        <f t="shared" si="7"/>
        <v>-800</v>
      </c>
      <c r="O52" s="27">
        <v>15</v>
      </c>
      <c r="P52" s="27">
        <f t="shared" si="2"/>
        <v>45</v>
      </c>
      <c r="Q52" s="27">
        <f t="shared" si="3"/>
        <v>40500</v>
      </c>
      <c r="R52" s="27">
        <v>1000</v>
      </c>
      <c r="S52" s="27" t="s">
        <v>53</v>
      </c>
      <c r="T52" s="28"/>
    </row>
    <row r="53" ht="18" customHeight="1" spans="1:21">
      <c r="A53" s="20">
        <v>47</v>
      </c>
      <c r="B53" s="21" t="s">
        <v>192</v>
      </c>
      <c r="C53" s="22" t="s">
        <v>193</v>
      </c>
      <c r="D53" s="20" t="s">
        <v>72</v>
      </c>
      <c r="E53" s="23" t="s">
        <v>121</v>
      </c>
      <c r="F53" s="24" t="s">
        <v>122</v>
      </c>
      <c r="G53" s="25">
        <v>3</v>
      </c>
      <c r="H53" s="25" t="s">
        <v>50</v>
      </c>
      <c r="I53" s="26" t="s">
        <v>162</v>
      </c>
      <c r="J53" s="27" t="s">
        <v>52</v>
      </c>
      <c r="K53" s="27">
        <f>G53*K3</f>
        <v>900</v>
      </c>
      <c r="L53" s="32">
        <v>157</v>
      </c>
      <c r="M53" s="41">
        <f t="shared" si="4"/>
        <v>52.3333333333333</v>
      </c>
      <c r="N53" s="35">
        <f t="shared" si="7"/>
        <v>-847.666666666667</v>
      </c>
      <c r="O53" s="27">
        <v>5</v>
      </c>
      <c r="P53" s="27">
        <f t="shared" si="2"/>
        <v>15</v>
      </c>
      <c r="Q53" s="27">
        <f t="shared" si="3"/>
        <v>13500</v>
      </c>
      <c r="R53" s="27">
        <v>1000</v>
      </c>
      <c r="S53" s="27" t="s">
        <v>53</v>
      </c>
      <c r="T53" s="28"/>
    </row>
    <row r="54" ht="18" customHeight="1" spans="1:21">
      <c r="A54" s="20">
        <v>48</v>
      </c>
      <c r="B54" s="21" t="s">
        <v>194</v>
      </c>
      <c r="C54" s="22" t="s">
        <v>195</v>
      </c>
      <c r="D54" s="20" t="s">
        <v>72</v>
      </c>
      <c r="E54" s="23" t="s">
        <v>121</v>
      </c>
      <c r="F54" s="24" t="s">
        <v>122</v>
      </c>
      <c r="G54" s="25">
        <v>3</v>
      </c>
      <c r="H54" s="25" t="s">
        <v>50</v>
      </c>
      <c r="I54" s="26" t="s">
        <v>162</v>
      </c>
      <c r="J54" s="27" t="s">
        <v>52</v>
      </c>
      <c r="K54" s="27">
        <f>G54*K3</f>
        <v>900</v>
      </c>
      <c r="L54" s="30">
        <v>481</v>
      </c>
      <c r="M54" s="41">
        <f t="shared" si="4"/>
        <v>160.333333333333</v>
      </c>
      <c r="N54" s="35">
        <f t="shared" si="7"/>
        <v>-739.666666666667</v>
      </c>
      <c r="O54" s="27">
        <v>15</v>
      </c>
      <c r="P54" s="27">
        <f t="shared" si="2"/>
        <v>45</v>
      </c>
      <c r="Q54" s="27">
        <f t="shared" si="3"/>
        <v>40500</v>
      </c>
      <c r="R54" s="27">
        <v>1000</v>
      </c>
      <c r="S54" s="27" t="s">
        <v>53</v>
      </c>
      <c r="T54" s="47"/>
    </row>
    <row r="55" ht="18" customHeight="1" spans="1:21">
      <c r="A55" s="20">
        <v>49</v>
      </c>
      <c r="B55" s="21" t="s">
        <v>196</v>
      </c>
      <c r="C55" s="22" t="s">
        <v>197</v>
      </c>
      <c r="D55" s="20" t="s">
        <v>72</v>
      </c>
      <c r="E55" s="23" t="s">
        <v>121</v>
      </c>
      <c r="F55" s="24" t="s">
        <v>122</v>
      </c>
      <c r="G55" s="25">
        <v>3</v>
      </c>
      <c r="H55" s="25" t="s">
        <v>50</v>
      </c>
      <c r="I55" s="26" t="s">
        <v>162</v>
      </c>
      <c r="J55" s="27" t="s">
        <v>52</v>
      </c>
      <c r="K55" s="27">
        <f>G55*K3</f>
        <v>900</v>
      </c>
      <c r="L55" s="32">
        <v>81</v>
      </c>
      <c r="M55" s="41">
        <f t="shared" si="4"/>
        <v>27</v>
      </c>
      <c r="N55" s="35">
        <f t="shared" si="7"/>
        <v>-873</v>
      </c>
      <c r="O55" s="27">
        <v>1.5</v>
      </c>
      <c r="P55" s="27">
        <f t="shared" si="2"/>
        <v>4.5</v>
      </c>
      <c r="Q55" s="27">
        <f t="shared" si="3"/>
        <v>4050</v>
      </c>
      <c r="R55" s="27">
        <v>1000</v>
      </c>
      <c r="S55" s="27" t="s">
        <v>53</v>
      </c>
      <c r="T55" s="47"/>
    </row>
    <row r="56" ht="18" customHeight="1" spans="1:21">
      <c r="A56" s="20">
        <v>50</v>
      </c>
      <c r="B56" s="21" t="s">
        <v>198</v>
      </c>
      <c r="C56" s="22" t="s">
        <v>199</v>
      </c>
      <c r="D56" s="20" t="s">
        <v>72</v>
      </c>
      <c r="E56" s="23" t="s">
        <v>121</v>
      </c>
      <c r="F56" s="24" t="s">
        <v>122</v>
      </c>
      <c r="G56" s="25">
        <v>3</v>
      </c>
      <c r="H56" s="25" t="s">
        <v>50</v>
      </c>
      <c r="I56" s="26" t="s">
        <v>162</v>
      </c>
      <c r="J56" s="27" t="s">
        <v>52</v>
      </c>
      <c r="K56" s="27">
        <f>G56*K3</f>
        <v>900</v>
      </c>
      <c r="L56" s="32">
        <v>162</v>
      </c>
      <c r="M56" s="41">
        <f t="shared" si="4"/>
        <v>54</v>
      </c>
      <c r="N56" s="35">
        <f t="shared" si="7"/>
        <v>-846</v>
      </c>
      <c r="O56" s="27">
        <v>1.2</v>
      </c>
      <c r="P56" s="27">
        <f t="shared" si="2"/>
        <v>3.6</v>
      </c>
      <c r="Q56" s="27">
        <f t="shared" si="3"/>
        <v>3240</v>
      </c>
      <c r="R56" s="27">
        <v>1000</v>
      </c>
      <c r="S56" s="27" t="s">
        <v>53</v>
      </c>
      <c r="T56" s="47"/>
    </row>
    <row r="57" ht="18" customHeight="1" spans="1:21">
      <c r="A57" s="20">
        <v>51</v>
      </c>
      <c r="B57" s="21" t="s">
        <v>200</v>
      </c>
      <c r="C57" s="22" t="s">
        <v>201</v>
      </c>
      <c r="D57" s="20" t="s">
        <v>72</v>
      </c>
      <c r="E57" s="23" t="s">
        <v>121</v>
      </c>
      <c r="F57" s="24" t="s">
        <v>122</v>
      </c>
      <c r="G57" s="25">
        <v>1</v>
      </c>
      <c r="H57" s="25" t="s">
        <v>50</v>
      </c>
      <c r="I57" s="26" t="s">
        <v>162</v>
      </c>
      <c r="J57" s="27" t="s">
        <v>52</v>
      </c>
      <c r="K57" s="27">
        <f>G57*K3</f>
        <v>300</v>
      </c>
      <c r="L57" s="30">
        <v>184</v>
      </c>
      <c r="M57" s="41">
        <f t="shared" si="4"/>
        <v>184</v>
      </c>
      <c r="N57" s="27">
        <f t="shared" si="7"/>
        <v>-116</v>
      </c>
      <c r="O57" s="27">
        <v>5.15</v>
      </c>
      <c r="P57" s="27">
        <f t="shared" si="2"/>
        <v>5.15</v>
      </c>
      <c r="Q57" s="27">
        <f t="shared" si="3"/>
        <v>1545</v>
      </c>
      <c r="R57" s="27">
        <v>1000</v>
      </c>
      <c r="S57" s="27" t="s">
        <v>53</v>
      </c>
      <c r="T57" s="48"/>
    </row>
    <row r="58" ht="18" customHeight="1" spans="1:21">
      <c r="A58" s="20">
        <v>52</v>
      </c>
      <c r="B58" s="21" t="s">
        <v>202</v>
      </c>
      <c r="C58" s="22" t="s">
        <v>203</v>
      </c>
      <c r="D58" s="20" t="s">
        <v>60</v>
      </c>
      <c r="E58" s="23" t="s">
        <v>121</v>
      </c>
      <c r="F58" s="24" t="s">
        <v>122</v>
      </c>
      <c r="G58" s="43">
        <v>2</v>
      </c>
      <c r="H58" s="49" t="s">
        <v>50</v>
      </c>
      <c r="I58" s="26" t="s">
        <v>162</v>
      </c>
      <c r="J58" s="27" t="s">
        <v>52</v>
      </c>
      <c r="K58" s="27">
        <f>G58*K3</f>
        <v>600</v>
      </c>
      <c r="L58" s="30">
        <v>191</v>
      </c>
      <c r="M58" s="41">
        <f t="shared" si="4"/>
        <v>95.5</v>
      </c>
      <c r="N58" s="27">
        <f t="shared" si="7"/>
        <v>-504.5</v>
      </c>
      <c r="O58" s="27">
        <f>4.5+1+5</f>
        <v>10.5</v>
      </c>
      <c r="P58" s="27">
        <f t="shared" si="2"/>
        <v>21</v>
      </c>
      <c r="Q58" s="27">
        <f t="shared" si="3"/>
        <v>12600</v>
      </c>
      <c r="R58" s="27">
        <v>1000</v>
      </c>
      <c r="S58" s="27" t="s">
        <v>53</v>
      </c>
      <c r="T58" s="28"/>
    </row>
    <row r="59" ht="15.75" spans="1:21">
      <c r="A59" s="20">
        <v>53</v>
      </c>
      <c r="B59" s="21" t="s">
        <v>204</v>
      </c>
      <c r="C59" s="22" t="s">
        <v>205</v>
      </c>
      <c r="D59" s="20" t="s">
        <v>72</v>
      </c>
      <c r="E59" s="23" t="s">
        <v>121</v>
      </c>
      <c r="F59" s="24" t="s">
        <v>122</v>
      </c>
      <c r="G59" s="50">
        <v>2</v>
      </c>
      <c r="H59" s="51" t="s">
        <v>50</v>
      </c>
      <c r="I59" s="26" t="s">
        <v>162</v>
      </c>
      <c r="J59" s="27" t="s">
        <v>52</v>
      </c>
      <c r="K59" s="27">
        <f>G59*K3</f>
        <v>600</v>
      </c>
      <c r="L59" s="30">
        <v>138</v>
      </c>
      <c r="M59" s="41">
        <f t="shared" si="4"/>
        <v>69</v>
      </c>
      <c r="N59" s="27">
        <f t="shared" si="7"/>
        <v>-531</v>
      </c>
      <c r="O59" s="27">
        <v>10</v>
      </c>
      <c r="P59" s="27">
        <f t="shared" si="2"/>
        <v>20</v>
      </c>
      <c r="Q59" s="27">
        <f t="shared" si="3"/>
        <v>12000</v>
      </c>
      <c r="R59" s="27">
        <v>1000</v>
      </c>
      <c r="S59" s="27" t="s">
        <v>53</v>
      </c>
      <c r="T59" s="28"/>
    </row>
    <row r="60" ht="15.75" spans="1:21">
      <c r="A60" s="20">
        <v>54</v>
      </c>
      <c r="B60" s="21" t="s">
        <v>206</v>
      </c>
      <c r="C60" s="22" t="s">
        <v>207</v>
      </c>
      <c r="D60" s="20" t="s">
        <v>72</v>
      </c>
      <c r="E60" s="23" t="s">
        <v>121</v>
      </c>
      <c r="F60" s="24" t="s">
        <v>122</v>
      </c>
      <c r="G60" s="25">
        <v>2</v>
      </c>
      <c r="H60" s="25" t="s">
        <v>50</v>
      </c>
      <c r="I60" s="26" t="s">
        <v>208</v>
      </c>
      <c r="J60" s="27" t="s">
        <v>62</v>
      </c>
      <c r="K60" s="27">
        <f>G60*K3</f>
        <v>600</v>
      </c>
      <c r="L60" s="30">
        <v>280</v>
      </c>
      <c r="M60" s="41">
        <f t="shared" si="4"/>
        <v>140</v>
      </c>
      <c r="N60" s="27">
        <f t="shared" si="7"/>
        <v>-460</v>
      </c>
      <c r="O60" s="27">
        <v>3.3</v>
      </c>
      <c r="P60" s="27">
        <f t="shared" si="2"/>
        <v>6.6</v>
      </c>
      <c r="Q60" s="27">
        <f t="shared" si="3"/>
        <v>3960</v>
      </c>
      <c r="R60" s="27">
        <v>1000</v>
      </c>
      <c r="S60" s="27" t="s">
        <v>53</v>
      </c>
      <c r="T60" s="28"/>
    </row>
    <row r="61" ht="15.75" spans="1:21">
      <c r="A61" s="20">
        <v>55</v>
      </c>
      <c r="B61" s="21" t="s">
        <v>209</v>
      </c>
      <c r="C61" s="22" t="s">
        <v>210</v>
      </c>
      <c r="D61" s="52" t="s">
        <v>72</v>
      </c>
      <c r="E61" s="23" t="s">
        <v>121</v>
      </c>
      <c r="F61" s="24" t="s">
        <v>122</v>
      </c>
      <c r="G61" s="31">
        <v>1</v>
      </c>
      <c r="H61" s="31" t="s">
        <v>50</v>
      </c>
      <c r="I61" s="26" t="s">
        <v>211</v>
      </c>
      <c r="J61" s="27" t="s">
        <v>62</v>
      </c>
      <c r="K61" s="27">
        <f>G61*K3</f>
        <v>300</v>
      </c>
      <c r="L61" s="30">
        <v>86</v>
      </c>
      <c r="M61" s="41">
        <f t="shared" si="4"/>
        <v>86</v>
      </c>
      <c r="N61" s="27">
        <f t="shared" si="7"/>
        <v>-214</v>
      </c>
      <c r="O61" s="27">
        <v>6</v>
      </c>
      <c r="P61" s="27">
        <f t="shared" si="2"/>
        <v>6</v>
      </c>
      <c r="Q61" s="27">
        <f t="shared" si="3"/>
        <v>1800</v>
      </c>
      <c r="R61" s="27">
        <v>1000</v>
      </c>
      <c r="S61" s="27" t="s">
        <v>53</v>
      </c>
      <c r="T61" s="28"/>
    </row>
    <row r="62" ht="15.75" spans="1:21">
      <c r="A62" s="20">
        <v>56</v>
      </c>
      <c r="B62" s="53" t="s">
        <v>212</v>
      </c>
      <c r="C62" s="22" t="s">
        <v>213</v>
      </c>
      <c r="D62" s="52" t="s">
        <v>72</v>
      </c>
      <c r="E62" s="23" t="s">
        <v>121</v>
      </c>
      <c r="F62" s="24" t="s">
        <v>122</v>
      </c>
      <c r="G62" s="54">
        <v>1</v>
      </c>
      <c r="H62" s="25" t="s">
        <v>50</v>
      </c>
      <c r="I62" s="26" t="s">
        <v>211</v>
      </c>
      <c r="J62" s="27" t="s">
        <v>62</v>
      </c>
      <c r="K62" s="27">
        <f>G62*K3</f>
        <v>300</v>
      </c>
      <c r="L62" s="33">
        <v>500</v>
      </c>
      <c r="M62" s="41">
        <f t="shared" si="4"/>
        <v>500</v>
      </c>
      <c r="N62" s="27">
        <f t="shared" si="7"/>
        <v>200</v>
      </c>
      <c r="O62" s="27">
        <v>12</v>
      </c>
      <c r="P62" s="27">
        <f t="shared" si="2"/>
        <v>12</v>
      </c>
      <c r="Q62" s="27">
        <f t="shared" si="3"/>
        <v>3600</v>
      </c>
      <c r="R62" s="27">
        <v>1000</v>
      </c>
      <c r="S62" s="27" t="s">
        <v>53</v>
      </c>
      <c r="T62" s="28"/>
    </row>
    <row r="63" ht="15.75" spans="1:21">
      <c r="A63" s="20">
        <v>57</v>
      </c>
      <c r="B63" s="55" t="s">
        <v>214</v>
      </c>
      <c r="C63" s="56" t="s">
        <v>215</v>
      </c>
      <c r="D63" s="57" t="s">
        <v>72</v>
      </c>
      <c r="E63" s="58" t="s">
        <v>121</v>
      </c>
      <c r="F63" s="59" t="s">
        <v>122</v>
      </c>
      <c r="G63" s="31">
        <v>3</v>
      </c>
      <c r="H63" s="31" t="s">
        <v>216</v>
      </c>
      <c r="I63" s="60" t="s">
        <v>217</v>
      </c>
      <c r="J63" s="61" t="s">
        <v>62</v>
      </c>
      <c r="K63" s="27">
        <f>G63*K3</f>
        <v>900</v>
      </c>
      <c r="L63" s="61">
        <f>50*10</f>
        <v>500</v>
      </c>
      <c r="M63" s="41">
        <f t="shared" si="4"/>
        <v>166.666666666667</v>
      </c>
      <c r="N63" s="27">
        <f>L63-K63</f>
        <v>-400</v>
      </c>
      <c r="O63" s="61">
        <f>750/50</f>
        <v>15</v>
      </c>
      <c r="P63" s="27">
        <f t="shared" si="2"/>
        <v>45</v>
      </c>
      <c r="Q63" s="27">
        <f t="shared" si="3"/>
        <v>40500</v>
      </c>
      <c r="R63" s="61">
        <v>10</v>
      </c>
      <c r="S63" s="27" t="s">
        <v>53</v>
      </c>
      <c r="T63" s="28"/>
    </row>
    <row r="64" ht="15.75" spans="1:21">
      <c r="A64" s="20"/>
      <c r="B64" s="21"/>
      <c r="C64" s="22"/>
      <c r="D64" s="20"/>
      <c r="E64" s="23"/>
      <c r="F64" s="22"/>
      <c r="G64" s="23"/>
      <c r="H64" s="23"/>
      <c r="I64" s="22"/>
      <c r="J64" s="22"/>
      <c r="K64" s="22"/>
      <c r="L64" s="22"/>
      <c r="M64" s="62"/>
      <c r="N64" s="22"/>
      <c r="O64" s="27">
        <f>SUM(O7:O63)</f>
        <v>18221.76</v>
      </c>
      <c r="P64" s="63">
        <f>SUM(P7:P63)</f>
        <v>21348.712</v>
      </c>
      <c r="Q64" s="63">
        <f>SUM(Q7:Q63)</f>
        <v>9043133.95876</v>
      </c>
      <c r="R64" s="22"/>
      <c r="S64" s="22"/>
      <c r="T64" s="28"/>
    </row>
    <row r="65" ht="15.75" spans="1:20">
      <c r="A65" s="64" t="s">
        <v>218</v>
      </c>
      <c r="B65" s="64"/>
      <c r="C65" s="64"/>
      <c r="D65" s="65" t="s">
        <v>219</v>
      </c>
      <c r="E65" s="66"/>
      <c r="F65" s="67"/>
      <c r="G65" s="64"/>
      <c r="H65" s="64"/>
      <c r="I65" s="68" t="s">
        <v>220</v>
      </c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70"/>
    </row>
    <row r="82" spans="1:20">
      <c r="T82" s="71"/>
    </row>
    <row r="88" ht="15" spans="1:20">
      <c r="A88" s="72"/>
      <c r="B88" s="72"/>
      <c r="C88" s="73"/>
      <c r="D88" s="73"/>
      <c r="E88" s="73"/>
    </row>
    <row r="89" ht="15" spans="1:20">
      <c r="A89" s="72"/>
      <c r="B89" s="72"/>
      <c r="C89" s="73"/>
      <c r="D89" s="73"/>
      <c r="E89" s="73"/>
    </row>
  </sheetData>
  <mergeCells count="9">
    <mergeCell ref="A1:T1"/>
    <mergeCell ref="A2:E2"/>
    <mergeCell ref="A3:E3"/>
    <mergeCell ref="A4:E4"/>
    <mergeCell ref="A5:E5"/>
    <mergeCell ref="A65:C65"/>
    <mergeCell ref="D65:F65"/>
    <mergeCell ref="G65:H65"/>
    <mergeCell ref="I65:T65"/>
  </mergeCells>
  <hyperlinks>
    <hyperlink ref="B30" r:id="rId1" display="AR010987"/>
    <hyperlink ref="B40" r:id="rId2" display="AR020006"/>
    <hyperlink ref="B39" r:id="rId3" display="AR020327"/>
    <hyperlink ref="B29" r:id="rId4" display="AR010986"/>
    <hyperlink ref="B7" r:id="rId5" display="AR011013"/>
    <hyperlink ref="B31" r:id="rId6" display="AR060044"/>
    <hyperlink ref="B32" r:id="rId7" display="AR020360"/>
    <hyperlink ref="B33" r:id="rId8" display="AR020362"/>
    <hyperlink ref="B38" r:id="rId9" display="AR020368"/>
    <hyperlink ref="B22" r:id="rId10" display="AR011040"/>
    <hyperlink ref="B44" r:id="rId11" display="AR010352"/>
    <hyperlink ref="B35" r:id="rId12" display="AR011074"/>
    <hyperlink ref="B36" r:id="rId13" display="AR020326"/>
    <hyperlink ref="B37" r:id="rId14" display="AR020351"/>
    <hyperlink ref="B23" r:id="rId15" display="AR010934"/>
    <hyperlink ref="B41" r:id="rId16" display="AR020295"/>
    <hyperlink ref="B26" r:id="rId17" display="AR010925"/>
    <hyperlink ref="B17" r:id="rId18" display="AR010928"/>
    <hyperlink ref="B63" r:id="rId19" display="AR020383"/>
    <hyperlink ref="B15" r:id="rId20" display="AR010902"/>
    <hyperlink ref="B48" r:id="rId21" display="AR020021"/>
    <hyperlink ref="B49" r:id="rId22" display="AR020171"/>
    <hyperlink ref="B50" r:id="rId23" display="AR020377"/>
    <hyperlink ref="B51" r:id="rId24" display="AR020372"/>
    <hyperlink ref="B57" r:id="rId25" display="AR020379"/>
    <hyperlink ref="B54" r:id="rId26" display="AR020373"/>
    <hyperlink ref="B45" r:id="rId27" display="AR020375"/>
    <hyperlink ref="B59" r:id="rId28" display="AR020337"/>
    <hyperlink ref="B58" r:id="rId29" display="AR020340"/>
    <hyperlink ref="B61" r:id="rId30" display="AR020380"/>
    <hyperlink ref="B60" r:id="rId31" display="AR020243"/>
    <hyperlink ref="B34" r:id="rId32" display="AR020004"/>
    <hyperlink ref="B55" r:id="rId33" display="AR020358"/>
    <hyperlink ref="B56" r:id="rId34" display="AR020357"/>
    <hyperlink ref="B27" r:id="rId35" display="AR010929"/>
    <hyperlink ref="B62" r:id="rId36" display="AR020385"/>
    <hyperlink ref="B43" r:id="rId37" display="AR020305"/>
    <hyperlink ref="B42" r:id="rId38" display="AR020354"/>
    <hyperlink ref="B14" r:id="rId39" display="AR020256"/>
    <hyperlink ref="B47" r:id="rId40" display="AR020240"/>
    <hyperlink ref="B8" r:id="rId41" display="AR010955"/>
    <hyperlink ref="B10" r:id="rId42" display="AR010862"/>
    <hyperlink ref="B52" r:id="rId43" display="AR020386"/>
    <hyperlink ref="B53" r:id="rId44" display="AR020378"/>
    <hyperlink ref="B18" r:id="rId45" display="AR010896"/>
    <hyperlink ref="B12" r:id="rId46" display="AR011085"/>
    <hyperlink ref="B11" r:id="rId47" display="AR010897"/>
    <hyperlink ref="B13" r:id="rId48" display="AR011077"/>
    <hyperlink ref="B16" r:id="rId49" display="AR010900"/>
    <hyperlink ref="B46" r:id="rId50" display="AR020249"/>
    <hyperlink ref="B9" r:id="rId51" display="AR010714"/>
    <hyperlink ref="B19" r:id="rId52" display="AR011041"/>
    <hyperlink ref="B21" r:id="rId53" display="AR011016"/>
    <hyperlink ref="B20" r:id="rId54" display="AR010707"/>
    <hyperlink ref="B24" r:id="rId55" display="AR010935"/>
    <hyperlink ref="I28" r:id="rId56" display="Precision Wires India Ltd " tooltip="https://www.screener.in/company/PRECWIRE/"/>
    <hyperlink ref="B28" r:id="rId57" display="AR020001"/>
  </hyperlinks>
  <printOptions horizontalCentered="1" verticalCentered="1"/>
  <pageMargins left="0.7" right="0.7" top="0.75" bottom="0.75" header="0.3" footer="0.3"/>
  <pageSetup paperSize="9" scale="3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</vt:lpstr>
      <vt:lpstr>10 KW  75MM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YRR</cp:lastModifiedBy>
  <dcterms:created xsi:type="dcterms:W3CDTF">2025-08-30T09:00:00Z</dcterms:created>
  <dcterms:modified xsi:type="dcterms:W3CDTF">2026-04-27T08:35:53Z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ED19D07245B449499571961B92AE3D56_12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