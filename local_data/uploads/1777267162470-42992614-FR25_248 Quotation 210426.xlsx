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ummary" sheetId="2" r:id="rId1"/>
    <sheet name="AR11138" sheetId="1" r:id="rId2"/>
    <sheet name="AR011140" sheetId="4" r:id="rId3"/>
    <sheet name="AR011142" sheetId="5" r:id="rId4"/>
    <sheet name="Sheet1" sheetId="6" r:id="rId5"/>
  </sheets>
  <externalReferences>
    <externalReference r:id="rId6"/>
  </externalReferences>
  <definedNames>
    <definedName name="ContactTitle">[1]Sheet3!$A$2:$A$2</definedName>
    <definedName name="_xlnm.Print_Area" localSheetId="2">'AR011140'!$A$1:$K$32</definedName>
    <definedName name="_xlnm.Print_Area" localSheetId="3">'AR011142'!$A$1:$K$32</definedName>
    <definedName name="_xlnm.Print_Area" localSheetId="1">'AR11138'!$A$1:$K$32</definedName>
    <definedName name="_xlnm.Print_Area" localSheetId="0">Summary!$A$1:$S$11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<sst xmlns="http://schemas.openxmlformats.org/spreadsheetml/2006/main" count="188" uniqueCount="84">
  <si>
    <t xml:space="preserve">                                      Sundram Fasteners Limited
                                      Autolec Division.Quotation for Aluminium Castings</t>
  </si>
  <si>
    <t>FR 25/248</t>
  </si>
  <si>
    <t>Date</t>
  </si>
  <si>
    <t>Abhinava Rizel Private Limited
c: +91  9566558313</t>
  </si>
  <si>
    <t>Kind Attn : Yuvaraja</t>
  </si>
  <si>
    <t>Part Name</t>
  </si>
  <si>
    <t>Drawing #</t>
  </si>
  <si>
    <t>RM</t>
  </si>
  <si>
    <t>Weight</t>
  </si>
  <si>
    <t>RM Rate Per/Kg</t>
  </si>
  <si>
    <t>RM Cost</t>
  </si>
  <si>
    <t>Conversion Cost</t>
  </si>
  <si>
    <t>Machining Cost</t>
  </si>
  <si>
    <t>Total Cost</t>
  </si>
  <si>
    <t>ICC</t>
  </si>
  <si>
    <t>Rejection</t>
  </si>
  <si>
    <t>Over Head</t>
  </si>
  <si>
    <t>Profit</t>
  </si>
  <si>
    <t>Packing</t>
  </si>
  <si>
    <t>Part Price</t>
  </si>
  <si>
    <t>Tool Cost in Lakhs</t>
  </si>
  <si>
    <t>PDC Die</t>
  </si>
  <si>
    <t>Machining Fixtures</t>
  </si>
  <si>
    <t>Total</t>
  </si>
  <si>
    <t>Front Endbell Machining</t>
  </si>
  <si>
    <t>AR011138</t>
  </si>
  <si>
    <t>ADC12</t>
  </si>
  <si>
    <t>Rear EndBell Machining</t>
  </si>
  <si>
    <t>AR011140</t>
  </si>
  <si>
    <t>Rotor Plate Machining</t>
  </si>
  <si>
    <t>AR011142</t>
  </si>
  <si>
    <t>ADC12 Price :MMR price of Mar-25</t>
  </si>
  <si>
    <t xml:space="preserve">                                      Sundram Fasteners Limited
                                      Autolec Division</t>
  </si>
  <si>
    <t>Part Number</t>
  </si>
  <si>
    <t>Annual Volume in Nos</t>
  </si>
  <si>
    <t>S #</t>
  </si>
  <si>
    <t>DESCRIPTION</t>
  </si>
  <si>
    <t>Material</t>
  </si>
  <si>
    <t>Quantity</t>
  </si>
  <si>
    <t>RM Wt in Kg</t>
  </si>
  <si>
    <t>Rate per Kg /unit</t>
  </si>
  <si>
    <t>RM /BOP Cost</t>
  </si>
  <si>
    <t>Conversion</t>
  </si>
  <si>
    <t>Machining /Assembly</t>
  </si>
  <si>
    <t>Powder Coating</t>
  </si>
  <si>
    <t>Front EndBell Machining</t>
  </si>
  <si>
    <t>Sub-Total</t>
  </si>
  <si>
    <t>Rejection Allowance</t>
  </si>
  <si>
    <t>Overheads</t>
  </si>
  <si>
    <t>To be actualised</t>
  </si>
  <si>
    <t>Freight &amp; WH</t>
  </si>
  <si>
    <t>Total  Price  Ex Works</t>
  </si>
  <si>
    <t>Tooling Details</t>
  </si>
  <si>
    <t xml:space="preserve">Part Name : </t>
  </si>
  <si>
    <t xml:space="preserve">Lead time </t>
  </si>
  <si>
    <t>16 Weeks</t>
  </si>
  <si>
    <t>Project :</t>
  </si>
  <si>
    <t>Tool cost break up</t>
  </si>
  <si>
    <t>Fixture References</t>
  </si>
  <si>
    <t>Tool Details</t>
  </si>
  <si>
    <t>Qty</t>
  </si>
  <si>
    <t>Remarks</t>
  </si>
  <si>
    <t>Price in INR Lakhs</t>
  </si>
  <si>
    <t>Front EndBell</t>
  </si>
  <si>
    <t>HPDC Die</t>
  </si>
  <si>
    <t xml:space="preserve">Machining Fixture </t>
  </si>
  <si>
    <t>Fixtures &amp; Gauges</t>
  </si>
  <si>
    <t>Total  tooling cost</t>
  </si>
  <si>
    <t>Rear Endbell Machining</t>
  </si>
  <si>
    <t>Rear End Bell</t>
  </si>
  <si>
    <t xml:space="preserve">AR011142 </t>
  </si>
  <si>
    <t>Rotor Plate</t>
  </si>
  <si>
    <t>250T 2 cavity</t>
  </si>
  <si>
    <t>Part No</t>
  </si>
  <si>
    <t>Part Description</t>
  </si>
  <si>
    <t>Component Cost (INR) LME 325</t>
  </si>
  <si>
    <t>Tool &amp; Fixture Cost ((Lakh)</t>
  </si>
  <si>
    <t>Target Date for Sample Submission</t>
  </si>
  <si>
    <t xml:space="preserve">Remarks </t>
  </si>
  <si>
    <t>AR11138</t>
  </si>
  <si>
    <t xml:space="preserve">July - first weeks </t>
  </si>
  <si>
    <t>Tool Life One lakh short</t>
  </si>
  <si>
    <t xml:space="preserve">Jun -first Weeks </t>
  </si>
  <si>
    <t>Tool Life Two lakh short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</si>
</sst>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&quot;₹&quot;\ #,##0.00;&quot;₹&quot;\ \-#,##0.00"/>
    <numFmt numFmtId="182" formatCode="\ mmm\ dd\,\ yyyy"/>
    <numFmt numFmtId="183" formatCode="0.0%"/>
    <numFmt numFmtId="184" formatCode="_ [$₹-4009]\ * #,##0.00_ ;_ [$₹-4009]\ * \-#,##0.00_ ;_ [$₹-4009]\ * &quot;-&quot;??_ ;_ @_ 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Book Antiqua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2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25" applyNumberFormat="0" applyAlignment="0" applyProtection="0">
      <alignment vertical="center"/>
    </xf>
    <xf numFmtId="0" fontId="22" fillId="11" borderId="26" applyNumberFormat="0" applyAlignment="0" applyProtection="0">
      <alignment vertical="center"/>
    </xf>
    <xf numFmtId="0" fontId="23" fillId="11" borderId="25" applyNumberFormat="0" applyAlignment="0" applyProtection="0">
      <alignment vertical="center"/>
    </xf>
    <xf numFmtId="0" fontId="24" fillId="12" borderId="27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180" fontId="32" fillId="0" borderId="0" applyFont="0" applyFill="0" applyBorder="0" applyAlignment="0" applyProtection="0"/>
    <xf numFmtId="180" fontId="33" fillId="0" borderId="0" applyFill="0" applyBorder="0" applyAlignment="0" applyProtection="0"/>
    <xf numFmtId="0" fontId="34" fillId="0" borderId="0"/>
    <xf numFmtId="0" fontId="0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9" fontId="35" fillId="0" borderId="0" applyFont="0" applyFill="0" applyBorder="0" applyAlignment="0" applyProtection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181" fontId="0" fillId="0" borderId="1" xfId="0" applyNumberFormat="1" applyFont="1" applyFill="1" applyBorder="1" applyAlignment="1">
      <alignment wrapText="1"/>
    </xf>
    <xf numFmtId="0" fontId="0" fillId="0" borderId="1" xfId="0" applyBorder="1"/>
    <xf numFmtId="0" fontId="3" fillId="0" borderId="0" xfId="56" applyFont="1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/>
    <xf numFmtId="0" fontId="4" fillId="0" borderId="4" xfId="56" applyFont="1" applyBorder="1" applyAlignment="1">
      <alignment horizontal="left" wrapText="1"/>
    </xf>
    <xf numFmtId="0" fontId="4" fillId="0" borderId="5" xfId="56" applyFont="1" applyBorder="1" applyAlignment="1">
      <alignment horizontal="left" wrapText="1"/>
    </xf>
    <xf numFmtId="0" fontId="5" fillId="0" borderId="5" xfId="56" applyFont="1" applyBorder="1"/>
    <xf numFmtId="0" fontId="5" fillId="0" borderId="6" xfId="56" applyFont="1" applyBorder="1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182" fontId="6" fillId="0" borderId="0" xfId="0" applyNumberFormat="1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4" borderId="6" xfId="51" applyFont="1" applyFill="1" applyBorder="1" applyAlignment="1">
      <alignment horizontal="center" vertical="center"/>
    </xf>
    <xf numFmtId="0" fontId="5" fillId="5" borderId="1" xfId="54" applyFont="1" applyFill="1" applyBorder="1" applyAlignment="1">
      <alignment horizontal="center" vertical="center" wrapText="1"/>
    </xf>
    <xf numFmtId="2" fontId="5" fillId="4" borderId="1" xfId="51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76" fontId="8" fillId="6" borderId="10" xfId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4" borderId="1" xfId="5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9" fontId="9" fillId="0" borderId="1" xfId="3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8" fillId="6" borderId="10" xfId="1" applyFont="1" applyFill="1" applyBorder="1" applyAlignment="1">
      <alignment horizontal="right" vertical="center"/>
    </xf>
    <xf numFmtId="9" fontId="9" fillId="0" borderId="12" xfId="0" applyNumberFormat="1" applyFont="1" applyBorder="1" applyAlignment="1">
      <alignment horizontal="center" vertical="center" wrapText="1"/>
    </xf>
    <xf numFmtId="183" fontId="9" fillId="0" borderId="1" xfId="3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6" fontId="8" fillId="6" borderId="15" xfId="1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176" fontId="8" fillId="6" borderId="0" xfId="1" applyFont="1" applyFill="1" applyBorder="1" applyAlignment="1">
      <alignment horizontal="center" vertical="center"/>
    </xf>
    <xf numFmtId="0" fontId="7" fillId="0" borderId="16" xfId="57" applyFont="1" applyBorder="1" applyAlignment="1">
      <alignment horizontal="center" vertical="center"/>
    </xf>
    <xf numFmtId="0" fontId="7" fillId="0" borderId="7" xfId="57" applyFont="1" applyBorder="1" applyAlignment="1">
      <alignment horizontal="center" vertical="center"/>
    </xf>
    <xf numFmtId="0" fontId="7" fillId="0" borderId="17" xfId="57" applyFont="1" applyBorder="1" applyAlignment="1">
      <alignment horizontal="center" vertical="center"/>
    </xf>
    <xf numFmtId="0" fontId="7" fillId="0" borderId="2" xfId="57" applyFont="1" applyBorder="1" applyAlignment="1">
      <alignment horizontal="center" vertical="center"/>
    </xf>
    <xf numFmtId="0" fontId="10" fillId="7" borderId="12" xfId="54" applyFont="1" applyFill="1" applyBorder="1" applyAlignment="1">
      <alignment horizontal="center" vertical="center"/>
    </xf>
    <xf numFmtId="0" fontId="10" fillId="7" borderId="1" xfId="54" applyFont="1" applyFill="1" applyBorder="1" applyAlignment="1">
      <alignment horizontal="center" vertical="center"/>
    </xf>
    <xf numFmtId="0" fontId="10" fillId="7" borderId="1" xfId="54" applyFont="1" applyFill="1" applyBorder="1" applyAlignment="1">
      <alignment vertical="center"/>
    </xf>
    <xf numFmtId="0" fontId="5" fillId="0" borderId="11" xfId="54" applyFont="1" applyBorder="1" applyAlignment="1">
      <alignment horizontal="center" vertical="center"/>
    </xf>
    <xf numFmtId="0" fontId="5" fillId="0" borderId="3" xfId="54" applyFont="1" applyBorder="1" applyAlignment="1">
      <alignment horizontal="center" vertical="center"/>
    </xf>
    <xf numFmtId="0" fontId="5" fillId="0" borderId="3" xfId="54" applyFont="1" applyBorder="1" applyAlignment="1">
      <alignment vertical="center"/>
    </xf>
    <xf numFmtId="2" fontId="5" fillId="0" borderId="3" xfId="54" applyNumberFormat="1" applyFont="1" applyBorder="1" applyAlignment="1">
      <alignment horizontal="center" vertical="center"/>
    </xf>
    <xf numFmtId="0" fontId="5" fillId="0" borderId="12" xfId="54" applyFont="1" applyBorder="1" applyAlignment="1">
      <alignment horizontal="center" vertical="center"/>
    </xf>
    <xf numFmtId="0" fontId="5" fillId="0" borderId="1" xfId="54" applyFont="1" applyBorder="1" applyAlignment="1">
      <alignment horizontal="center" vertical="center"/>
    </xf>
    <xf numFmtId="2" fontId="5" fillId="0" borderId="1" xfId="54" applyNumberFormat="1" applyFont="1" applyBorder="1" applyAlignment="1">
      <alignment horizontal="center" vertical="center"/>
    </xf>
    <xf numFmtId="0" fontId="10" fillId="0" borderId="18" xfId="54" applyFont="1" applyBorder="1" applyAlignment="1">
      <alignment horizontal="center" vertical="center"/>
    </xf>
    <xf numFmtId="0" fontId="10" fillId="0" borderId="19" xfId="54" applyFont="1" applyBorder="1" applyAlignment="1">
      <alignment horizontal="center" vertical="center"/>
    </xf>
    <xf numFmtId="0" fontId="10" fillId="0" borderId="20" xfId="54" applyFont="1" applyBorder="1" applyAlignment="1">
      <alignment horizontal="center" vertical="center"/>
    </xf>
    <xf numFmtId="2" fontId="10" fillId="0" borderId="14" xfId="54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21" xfId="56" applyFont="1" applyBorder="1" applyAlignment="1">
      <alignment horizontal="center" wrapText="1"/>
    </xf>
    <xf numFmtId="0" fontId="4" fillId="0" borderId="0" xfId="56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184" fontId="0" fillId="0" borderId="1" xfId="0" applyNumberFormat="1" applyBorder="1" applyAlignment="1">
      <alignment vertical="center"/>
    </xf>
    <xf numFmtId="184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Excel Built-in Normal" xfId="51"/>
    <cellStyle name="Normal 15" xfId="52"/>
    <cellStyle name="Normal 2" xfId="53"/>
    <cellStyle name="Normal 2 2" xfId="54"/>
    <cellStyle name="Normal 3" xfId="55"/>
    <cellStyle name="Normal 7" xfId="56"/>
    <cellStyle name="Normal 7 2" xfId="57"/>
    <cellStyle name="Percent 2" xfId="5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466725</xdr:colOff>
      <xdr:row>1</xdr:row>
      <xdr:rowOff>26080</xdr:rowOff>
    </xdr:to>
    <xdr:pic>
      <xdr:nvPicPr>
        <xdr:cNvPr id="2" name="Picture 15"/>
        <xdr:cNvPicPr>
          <a:picLocks noChangeAspect="1" noChangeArrowheads="1"/>
        </xdr:cNvPicPr>
      </xdr:nvPicPr>
      <xdr:blipFill>
        <a:blip r:embed="rId1" cstate="print"/>
        <a:srcRect l="5714"/>
        <a:stretch>
          <a:fillRect/>
        </a:stretch>
      </xdr:blipFill>
      <xdr:spPr>
        <a:xfrm>
          <a:off x="19050" y="0"/>
          <a:ext cx="647700" cy="816610"/>
        </a:xfrm>
        <a:prstGeom prst="rect">
          <a:avLst/>
        </a:prstGeom>
        <a:noFill/>
        <a:ln w="9525">
          <a:noFill/>
          <a:rou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0</xdr:rowOff>
    </xdr:from>
    <xdr:to>
      <xdr:col>0</xdr:col>
      <xdr:colOff>542925</xdr:colOff>
      <xdr:row>1</xdr:row>
      <xdr:rowOff>26080</xdr:rowOff>
    </xdr:to>
    <xdr:pic>
      <xdr:nvPicPr>
        <xdr:cNvPr id="2" name="Picture 15"/>
        <xdr:cNvPicPr>
          <a:picLocks noChangeAspect="1" noChangeArrowheads="1"/>
        </xdr:cNvPicPr>
      </xdr:nvPicPr>
      <xdr:blipFill>
        <a:blip r:embed="rId1" cstate="print"/>
        <a:srcRect l="5714"/>
        <a:stretch>
          <a:fillRect/>
        </a:stretch>
      </xdr:blipFill>
      <xdr:spPr>
        <a:xfrm>
          <a:off x="19050" y="0"/>
          <a:ext cx="523875" cy="838200"/>
        </a:xfrm>
        <a:prstGeom prst="rect">
          <a:avLst/>
        </a:prstGeom>
        <a:noFill/>
        <a:ln w="9525">
          <a:noFill/>
          <a:rou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0</xdr:rowOff>
    </xdr:from>
    <xdr:to>
      <xdr:col>0</xdr:col>
      <xdr:colOff>542925</xdr:colOff>
      <xdr:row>1</xdr:row>
      <xdr:rowOff>26080</xdr:rowOff>
    </xdr:to>
    <xdr:pic>
      <xdr:nvPicPr>
        <xdr:cNvPr id="2" name="Picture 15"/>
        <xdr:cNvPicPr>
          <a:picLocks noChangeAspect="1" noChangeArrowheads="1"/>
        </xdr:cNvPicPr>
      </xdr:nvPicPr>
      <xdr:blipFill>
        <a:blip r:embed="rId1" cstate="print"/>
        <a:srcRect l="5714"/>
        <a:stretch>
          <a:fillRect/>
        </a:stretch>
      </xdr:blipFill>
      <xdr:spPr>
        <a:xfrm>
          <a:off x="19050" y="0"/>
          <a:ext cx="523875" cy="838200"/>
        </a:xfrm>
        <a:prstGeom prst="rect">
          <a:avLst/>
        </a:prstGeom>
        <a:noFill/>
        <a:ln w="9525">
          <a:noFill/>
          <a:rou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0</xdr:rowOff>
    </xdr:from>
    <xdr:to>
      <xdr:col>0</xdr:col>
      <xdr:colOff>542925</xdr:colOff>
      <xdr:row>1</xdr:row>
      <xdr:rowOff>26080</xdr:rowOff>
    </xdr:to>
    <xdr:pic>
      <xdr:nvPicPr>
        <xdr:cNvPr id="2" name="Picture 15"/>
        <xdr:cNvPicPr>
          <a:picLocks noChangeAspect="1" noChangeArrowheads="1"/>
        </xdr:cNvPicPr>
      </xdr:nvPicPr>
      <xdr:blipFill>
        <a:blip r:embed="rId1" cstate="print"/>
        <a:srcRect l="5714"/>
        <a:stretch>
          <a:fillRect/>
        </a:stretch>
      </xdr:blipFill>
      <xdr:spPr>
        <a:xfrm>
          <a:off x="19050" y="0"/>
          <a:ext cx="523875" cy="838200"/>
        </a:xfrm>
        <a:prstGeom prst="rect">
          <a:avLst/>
        </a:prstGeom>
        <a:noFill/>
        <a:ln w="9525">
          <a:noFill/>
          <a:rou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upplier%20Contacts%20for%20Survey8-13-1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ernal"/>
      <sheetName val="Sheet3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2"/>
  <sheetViews>
    <sheetView tabSelected="1" topLeftCell="A4" workbookViewId="0">
      <selection activeCell="C8" sqref="C8"/>
    </sheetView>
  </sheetViews>
  <sheetFormatPr defaultColWidth="9" defaultRowHeight="15"/>
  <cols>
    <col min="1" max="1" width="3" customWidth="1"/>
    <col min="2" max="2" width="18.5714285714286" customWidth="1"/>
    <col min="3" max="3" width="13.1428571428571" customWidth="1"/>
    <col min="6" max="6" width="11.2857142857143" customWidth="1"/>
    <col min="7" max="7" width="12.4285714285714" customWidth="1"/>
    <col min="8" max="8" width="11.4285714285714" customWidth="1"/>
    <col min="9" max="9" width="11.5714285714286" customWidth="1"/>
    <col min="10" max="10" width="10.2857142857143" customWidth="1"/>
    <col min="11" max="11" width="10.5714285714286" customWidth="1"/>
    <col min="13" max="13" width="10.1428571428571" customWidth="1"/>
    <col min="16" max="16" width="10.5714285714286" customWidth="1"/>
    <col min="17" max="17" width="8.14285714285714" customWidth="1"/>
    <col min="18" max="18" width="11" customWidth="1"/>
    <col min="19" max="19" width="13.2857142857143" customWidth="1"/>
  </cols>
  <sheetData>
    <row r="1" ht="62.25" customHeight="1" spans="1:20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ht="27.95" customHeight="1" spans="1:20">
      <c r="A2" s="23"/>
      <c r="B2" s="24" t="s">
        <v>1</v>
      </c>
      <c r="C2" s="24"/>
      <c r="D2" s="23"/>
      <c r="E2" s="23"/>
      <c r="F2" s="23"/>
      <c r="G2" s="23"/>
      <c r="H2" s="23"/>
      <c r="I2" s="23"/>
      <c r="J2" s="23"/>
      <c r="K2" s="23"/>
      <c r="L2" s="23"/>
      <c r="M2" s="26"/>
      <c r="P2" s="23"/>
      <c r="Q2" s="23"/>
      <c r="R2" s="23" t="s">
        <v>2</v>
      </c>
      <c r="S2" s="26">
        <v>46132</v>
      </c>
    </row>
    <row r="3" ht="49.5" customHeight="1" spans="1:20">
      <c r="A3" s="23"/>
      <c r="B3" s="86" t="s">
        <v>3</v>
      </c>
      <c r="C3" s="86"/>
      <c r="D3" s="86"/>
      <c r="E3" s="86"/>
      <c r="F3" s="86"/>
      <c r="G3" s="86"/>
      <c r="H3" s="23"/>
      <c r="I3" s="23"/>
      <c r="J3" s="23"/>
      <c r="K3" s="23"/>
      <c r="L3" s="23"/>
      <c r="M3" s="23"/>
    </row>
    <row r="4" ht="27.95" customHeight="1" spans="1:20">
      <c r="A4" s="23"/>
      <c r="B4" s="86" t="s">
        <v>4</v>
      </c>
      <c r="C4" s="86"/>
      <c r="D4" s="86"/>
      <c r="E4" s="86"/>
      <c r="F4" s="86"/>
      <c r="G4" s="86"/>
      <c r="H4" s="23"/>
      <c r="I4" s="23"/>
      <c r="J4" s="23"/>
      <c r="K4" s="23"/>
      <c r="L4" s="23"/>
      <c r="M4" s="23"/>
    </row>
    <row r="5" ht="27.95" customHeight="1"/>
    <row r="6" ht="27.95" customHeight="1" spans="1:20">
      <c r="B6" s="87" t="s">
        <v>5</v>
      </c>
      <c r="C6" s="87" t="s">
        <v>6</v>
      </c>
      <c r="D6" s="87" t="s">
        <v>7</v>
      </c>
      <c r="E6" s="87" t="s">
        <v>8</v>
      </c>
      <c r="F6" s="88" t="s">
        <v>9</v>
      </c>
      <c r="G6" s="87" t="s">
        <v>10</v>
      </c>
      <c r="H6" s="89" t="s">
        <v>11</v>
      </c>
      <c r="I6" s="89" t="s">
        <v>12</v>
      </c>
      <c r="J6" s="87" t="s">
        <v>13</v>
      </c>
      <c r="K6" s="87" t="s">
        <v>14</v>
      </c>
      <c r="L6" s="87" t="s">
        <v>15</v>
      </c>
      <c r="M6" s="87" t="s">
        <v>16</v>
      </c>
      <c r="N6" s="87" t="s">
        <v>17</v>
      </c>
      <c r="O6" s="87" t="s">
        <v>18</v>
      </c>
      <c r="P6" s="87" t="s">
        <v>19</v>
      </c>
      <c r="Q6" s="90" t="s">
        <v>20</v>
      </c>
      <c r="R6" s="91"/>
      <c r="S6" s="92"/>
    </row>
    <row r="7" ht="27.95" customHeight="1" spans="1:20">
      <c r="B7" s="87"/>
      <c r="C7" s="87"/>
      <c r="D7" s="87"/>
      <c r="E7" s="87"/>
      <c r="F7" s="88"/>
      <c r="G7" s="87"/>
      <c r="H7" s="93"/>
      <c r="I7" s="93"/>
      <c r="J7" s="87"/>
      <c r="K7" s="94">
        <v>0.02</v>
      </c>
      <c r="L7" s="94">
        <v>0.02</v>
      </c>
      <c r="M7" s="95">
        <v>0.05</v>
      </c>
      <c r="N7" s="94">
        <v>0.09</v>
      </c>
      <c r="O7" s="87"/>
      <c r="P7" s="87"/>
      <c r="Q7" s="96" t="s">
        <v>21</v>
      </c>
      <c r="R7" s="97" t="s">
        <v>22</v>
      </c>
      <c r="S7" s="93" t="s">
        <v>23</v>
      </c>
    </row>
    <row r="8" ht="36.95" customHeight="1" spans="1:20">
      <c r="B8" s="98" t="s">
        <v>24</v>
      </c>
      <c r="C8" s="99" t="s">
        <v>25</v>
      </c>
      <c r="D8" s="100" t="s">
        <v>26</v>
      </c>
      <c r="E8" s="101">
        <f>'AR11138'!E9</f>
        <v>2.1412</v>
      </c>
      <c r="F8" s="101">
        <f>'AR11138'!$F$9</f>
        <v>325</v>
      </c>
      <c r="G8" s="102">
        <f>E8*F8</f>
        <v>695.89</v>
      </c>
      <c r="H8" s="102">
        <v>73</v>
      </c>
      <c r="I8" s="102">
        <f>'AR11138'!$I$9</f>
        <v>75</v>
      </c>
      <c r="J8" s="102">
        <f>G8+H8+I8</f>
        <v>843.89</v>
      </c>
      <c r="K8" s="102">
        <f>$J$8*K7</f>
        <v>16.8778</v>
      </c>
      <c r="L8" s="102">
        <f>$J$8*$L$7</f>
        <v>16.8778</v>
      </c>
      <c r="M8" s="102">
        <f t="shared" ref="M8:N8" si="0">$J$8*M7</f>
        <v>42.1945</v>
      </c>
      <c r="N8" s="102">
        <f t="shared" si="0"/>
        <v>75.9501</v>
      </c>
      <c r="O8" s="102">
        <v>20</v>
      </c>
      <c r="P8" s="103">
        <f>SUM(J8:O8)</f>
        <v>1015.7902</v>
      </c>
      <c r="Q8" s="104">
        <f>'AR11138'!$F$27</f>
        <v>34</v>
      </c>
      <c r="R8" s="104">
        <v>11</v>
      </c>
      <c r="S8" s="104">
        <f t="shared" ref="S8:S10" si="1">Q8+R8</f>
        <v>45</v>
      </c>
    </row>
    <row r="9" ht="36.95" customHeight="1" spans="1:20">
      <c r="B9" s="98" t="s">
        <v>27</v>
      </c>
      <c r="C9" s="105" t="s">
        <v>28</v>
      </c>
      <c r="D9" s="100" t="s">
        <v>26</v>
      </c>
      <c r="E9" s="101">
        <f>'AR011140'!E9</f>
        <v>0.99</v>
      </c>
      <c r="F9" s="102">
        <v>325</v>
      </c>
      <c r="G9" s="102">
        <f>E9*F9</f>
        <v>321.75</v>
      </c>
      <c r="H9" s="102">
        <v>68</v>
      </c>
      <c r="I9" s="102">
        <v>121</v>
      </c>
      <c r="J9" s="102">
        <f t="shared" ref="J9" si="2">G9+H9+I9</f>
        <v>510.75</v>
      </c>
      <c r="K9" s="102">
        <f>$J$9*K7</f>
        <v>10.215</v>
      </c>
      <c r="L9" s="102">
        <f>$J$9*L7</f>
        <v>10.215</v>
      </c>
      <c r="M9" s="102">
        <f>$J$9*M7</f>
        <v>25.5375</v>
      </c>
      <c r="N9" s="102">
        <f>$J$9*N7</f>
        <v>45.9675</v>
      </c>
      <c r="O9" s="102">
        <v>8</v>
      </c>
      <c r="P9" s="103">
        <f t="shared" ref="P9" si="3">SUM(J9:O9)</f>
        <v>610.685</v>
      </c>
      <c r="Q9" s="104">
        <f>'AR011140'!$F$27</f>
        <v>30</v>
      </c>
      <c r="R9" s="104">
        <v>15</v>
      </c>
      <c r="S9" s="104">
        <f t="shared" si="1"/>
        <v>45</v>
      </c>
    </row>
    <row r="10" ht="36.95" customHeight="1" spans="1:20">
      <c r="B10" s="98" t="s">
        <v>29</v>
      </c>
      <c r="C10" s="105" t="s">
        <v>30</v>
      </c>
      <c r="D10" s="100" t="s">
        <v>26</v>
      </c>
      <c r="E10" s="101">
        <f>'AR011142'!E9</f>
        <v>0.09</v>
      </c>
      <c r="F10" s="101">
        <f>'AR011142'!$F$9</f>
        <v>325</v>
      </c>
      <c r="G10" s="102">
        <f>E10*F10</f>
        <v>29.25</v>
      </c>
      <c r="H10" s="101">
        <f>'AR011142'!$H$9</f>
        <v>16</v>
      </c>
      <c r="I10" s="101">
        <v>5</v>
      </c>
      <c r="J10" s="102">
        <f t="shared" ref="J10" si="4">G10+H10+I10</f>
        <v>50.25</v>
      </c>
      <c r="K10" s="102">
        <f>$J$10*K7</f>
        <v>1.005</v>
      </c>
      <c r="L10" s="102">
        <f>$J$10*L7</f>
        <v>1.005</v>
      </c>
      <c r="M10" s="102">
        <f>$J$10*M7</f>
        <v>2.5125</v>
      </c>
      <c r="N10" s="102">
        <f>$J$10*N7</f>
        <v>4.5225</v>
      </c>
      <c r="O10" s="102">
        <v>2.5</v>
      </c>
      <c r="P10" s="103">
        <f t="shared" ref="P10" si="5">SUM(J10:O10)</f>
        <v>61.795</v>
      </c>
      <c r="Q10" s="104">
        <f>'AR011142'!F31</f>
        <v>8</v>
      </c>
      <c r="R10" s="104">
        <v>0</v>
      </c>
      <c r="S10" s="104">
        <f t="shared" si="1"/>
        <v>8</v>
      </c>
    </row>
    <row r="11" spans="1:20">
      <c r="P11">
        <f>SUM(P8:P10)</f>
        <v>1688.2702</v>
      </c>
      <c r="S11">
        <f>SUM(S8:S10)</f>
        <v>98</v>
      </c>
      <c r="T11">
        <v>98</v>
      </c>
    </row>
    <row r="12" ht="15.75" spans="1:20">
      <c r="B12" s="83" t="s">
        <v>31</v>
      </c>
    </row>
  </sheetData>
  <mergeCells count="15">
    <mergeCell ref="A1:S1"/>
    <mergeCell ref="B3:G3"/>
    <mergeCell ref="B4:G4"/>
    <mergeCell ref="Q6:S6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354330708661417" right="0.196850393700787" top="0.748031496062992" bottom="0.748031496062992" header="0.31496062992126" footer="0.31496062992126"/>
  <pageSetup paperSize="9" scale="70" orientation="landscape"/>
  <headerFooter>
    <oddFooter>&amp;L&amp;Z&amp;F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4"/>
  <sheetViews>
    <sheetView showGridLines="0" topLeftCell="A7" workbookViewId="0">
      <selection activeCell="F29" sqref="F29"/>
    </sheetView>
  </sheetViews>
  <sheetFormatPr defaultColWidth="9.14285714285714" defaultRowHeight="15"/>
  <cols>
    <col min="1" max="1" width="9.14285714285714" style="18"/>
    <col min="2" max="2" width="32.8571428571429" style="18" customWidth="1"/>
    <col min="3" max="3" width="21.7142857142857" style="18" customWidth="1"/>
    <col min="4" max="4" width="8.71428571428571" style="18" customWidth="1"/>
    <col min="5" max="5" width="13.4285714285714" style="18" customWidth="1"/>
    <col min="6" max="7" width="16.5714285714286" style="18" customWidth="1"/>
    <col min="8" max="8" width="12.4285714285714" style="18" customWidth="1"/>
    <col min="9" max="9" width="14" style="18" customWidth="1"/>
    <col min="10" max="10" width="14.5714285714286" style="18" customWidth="1"/>
    <col min="11" max="11" width="14.8571428571429" style="18" customWidth="1"/>
    <col min="12" max="16384" width="9.14285714285714" style="18"/>
  </cols>
  <sheetData>
    <row r="1" s="15" customFormat="1" ht="63.95" customHeight="1" spans="1:12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1"/>
      <c r="K1" s="22"/>
    </row>
    <row r="2" ht="15.75" spans="1:12">
      <c r="A2" s="23"/>
      <c r="B2" s="24" t="s">
        <v>1</v>
      </c>
      <c r="C2" s="23"/>
      <c r="D2" s="23"/>
      <c r="E2" s="23"/>
      <c r="F2" s="23"/>
      <c r="G2" s="23"/>
      <c r="H2" s="23"/>
      <c r="I2" s="23"/>
      <c r="J2" s="25" t="s">
        <v>2</v>
      </c>
      <c r="K2" s="26">
        <v>46119</v>
      </c>
    </row>
    <row r="3" ht="31.5" spans="1:12">
      <c r="A3" s="23"/>
      <c r="B3" s="27" t="s">
        <v>3</v>
      </c>
      <c r="C3" s="23"/>
      <c r="D3" s="23"/>
      <c r="E3" s="23"/>
      <c r="F3" s="23"/>
      <c r="G3" s="23"/>
      <c r="H3" s="23"/>
      <c r="I3" s="23"/>
      <c r="J3" s="23"/>
      <c r="K3" s="23"/>
    </row>
    <row r="4" ht="3" customHeight="1" spans="1:12">
      <c r="A4" s="23"/>
      <c r="B4" s="28"/>
      <c r="C4" s="23"/>
      <c r="D4" s="23"/>
      <c r="E4" s="23"/>
      <c r="F4" s="23"/>
      <c r="G4" s="23"/>
      <c r="H4" s="23"/>
      <c r="I4" s="23"/>
      <c r="J4" s="23"/>
      <c r="K4" s="23"/>
    </row>
    <row r="5" ht="15.75" spans="1:12">
      <c r="A5" s="23"/>
      <c r="B5" s="29" t="s">
        <v>4</v>
      </c>
      <c r="C5" s="23"/>
      <c r="D5" s="23"/>
      <c r="E5" s="23"/>
      <c r="F5" s="23"/>
      <c r="G5" s="23"/>
      <c r="H5" s="23"/>
      <c r="I5" s="23"/>
      <c r="J5" s="23"/>
      <c r="K5" s="23"/>
    </row>
    <row r="6" ht="3" customHeight="1" spans="1:1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="16" customFormat="1" ht="30" customHeight="1" spans="1:12">
      <c r="A7" s="30"/>
      <c r="B7" s="31" t="s">
        <v>33</v>
      </c>
      <c r="C7" s="31" t="s">
        <v>25</v>
      </c>
      <c r="D7" s="31"/>
      <c r="E7" s="30"/>
      <c r="F7" s="30"/>
      <c r="G7" s="30"/>
      <c r="H7" s="30"/>
      <c r="I7" s="32" t="s">
        <v>34</v>
      </c>
      <c r="J7" s="33">
        <v>48000</v>
      </c>
      <c r="K7" s="30"/>
    </row>
    <row r="8" s="17" customFormat="1" ht="31.5" spans="1:12">
      <c r="A8" s="34" t="s">
        <v>35</v>
      </c>
      <c r="B8" s="35" t="s">
        <v>36</v>
      </c>
      <c r="C8" s="34" t="s">
        <v>37</v>
      </c>
      <c r="D8" s="34" t="s">
        <v>38</v>
      </c>
      <c r="E8" s="36" t="s">
        <v>39</v>
      </c>
      <c r="F8" s="36" t="s">
        <v>40</v>
      </c>
      <c r="G8" s="36" t="s">
        <v>41</v>
      </c>
      <c r="H8" s="34" t="s">
        <v>42</v>
      </c>
      <c r="I8" s="36" t="s">
        <v>43</v>
      </c>
      <c r="J8" s="36" t="s">
        <v>44</v>
      </c>
      <c r="K8" s="37" t="s">
        <v>13</v>
      </c>
    </row>
    <row r="9" s="17" customFormat="1" ht="23.1" customHeight="1" spans="1:12">
      <c r="A9" s="38">
        <v>1</v>
      </c>
      <c r="B9" s="39" t="s">
        <v>45</v>
      </c>
      <c r="C9" s="40" t="s">
        <v>26</v>
      </c>
      <c r="D9" s="40">
        <v>1</v>
      </c>
      <c r="E9" s="41">
        <v>2.1412</v>
      </c>
      <c r="F9" s="41">
        <v>325</v>
      </c>
      <c r="G9" s="42">
        <f>E9*F9</f>
        <v>695.89</v>
      </c>
      <c r="H9" s="42">
        <v>75</v>
      </c>
      <c r="I9" s="42">
        <v>75</v>
      </c>
      <c r="J9" s="43"/>
      <c r="K9" s="44">
        <f>G9+H9+I9</f>
        <v>845.89</v>
      </c>
      <c r="L9" s="45"/>
    </row>
    <row r="10" s="17" customFormat="1" ht="23.1" customHeight="1" spans="1:12">
      <c r="A10" s="38"/>
      <c r="B10" s="39"/>
      <c r="C10" s="40"/>
      <c r="D10" s="46"/>
      <c r="E10" s="41"/>
      <c r="F10" s="41"/>
      <c r="G10" s="42"/>
      <c r="H10" s="42"/>
      <c r="I10" s="42"/>
      <c r="J10" s="38"/>
      <c r="K10" s="44"/>
    </row>
    <row r="11" s="17" customFormat="1" ht="23.1" customHeight="1" spans="1:12">
      <c r="A11" s="38"/>
      <c r="B11" s="39"/>
      <c r="C11" s="46"/>
      <c r="D11" s="46"/>
      <c r="E11" s="41"/>
      <c r="F11" s="42"/>
      <c r="G11" s="42"/>
      <c r="H11" s="42"/>
      <c r="I11" s="42"/>
      <c r="J11" s="38"/>
      <c r="K11" s="44"/>
    </row>
    <row r="12" s="17" customFormat="1" ht="23.1" customHeight="1" spans="1:12">
      <c r="A12" s="38"/>
      <c r="B12" s="46"/>
      <c r="C12" s="46"/>
      <c r="D12" s="46"/>
      <c r="E12" s="46"/>
      <c r="F12" s="47"/>
      <c r="G12" s="42"/>
      <c r="H12" s="47"/>
      <c r="I12" s="42"/>
      <c r="J12" s="38"/>
      <c r="K12" s="44"/>
    </row>
    <row r="13" s="17" customFormat="1" ht="23.1" customHeight="1" spans="1:12">
      <c r="A13" s="48"/>
      <c r="B13" s="49" t="s">
        <v>46</v>
      </c>
      <c r="C13" s="50"/>
      <c r="D13" s="50"/>
      <c r="E13" s="50"/>
      <c r="F13" s="50"/>
      <c r="G13" s="51">
        <f>SUM(G9:G12)</f>
        <v>695.89</v>
      </c>
      <c r="H13" s="51">
        <f>SUM(H9:H12)</f>
        <v>75</v>
      </c>
      <c r="I13" s="51">
        <f>SUM(I9:I12)</f>
        <v>75</v>
      </c>
      <c r="J13" s="51">
        <f>SUM(J9:J12)</f>
        <v>0</v>
      </c>
      <c r="K13" s="44">
        <f>SUM(K9:K12)</f>
        <v>845.89</v>
      </c>
    </row>
    <row r="14" s="17" customFormat="1" ht="23.1" customHeight="1" spans="1:12">
      <c r="A14" s="48"/>
      <c r="B14" s="52" t="s">
        <v>14</v>
      </c>
      <c r="C14" s="53">
        <v>0.02</v>
      </c>
      <c r="D14" s="53"/>
      <c r="E14" s="54"/>
      <c r="F14" s="54"/>
      <c r="G14" s="54"/>
      <c r="H14" s="54"/>
      <c r="I14" s="54"/>
      <c r="J14" s="54"/>
      <c r="K14" s="55">
        <f>$K$13*C14</f>
        <v>16.9178</v>
      </c>
    </row>
    <row r="15" s="17" customFormat="1" ht="31.9" customHeight="1" spans="1:12">
      <c r="A15" s="48"/>
      <c r="B15" s="56" t="s">
        <v>47</v>
      </c>
      <c r="C15" s="53">
        <v>0.02</v>
      </c>
      <c r="D15" s="53"/>
      <c r="E15" s="54"/>
      <c r="F15" s="54"/>
      <c r="G15" s="54"/>
      <c r="H15" s="54"/>
      <c r="I15" s="54"/>
      <c r="J15" s="43"/>
      <c r="K15" s="55">
        <f>$K$13*C15</f>
        <v>16.9178</v>
      </c>
    </row>
    <row r="16" s="17" customFormat="1" ht="23.1" customHeight="1" spans="1:12">
      <c r="A16" s="48"/>
      <c r="B16" s="52" t="s">
        <v>17</v>
      </c>
      <c r="C16" s="57">
        <v>0.1</v>
      </c>
      <c r="D16" s="57"/>
      <c r="E16" s="54"/>
      <c r="F16" s="54"/>
      <c r="G16" s="54"/>
      <c r="H16" s="54"/>
      <c r="I16" s="54"/>
      <c r="J16" s="54"/>
      <c r="K16" s="44">
        <f t="shared" ref="K16:K17" si="0">$K$13*C16</f>
        <v>84.589</v>
      </c>
    </row>
    <row r="17" s="17" customFormat="1" ht="23.1" customHeight="1" spans="1:13">
      <c r="A17" s="48"/>
      <c r="B17" s="52" t="s">
        <v>48</v>
      </c>
      <c r="C17" s="57">
        <v>0.05</v>
      </c>
      <c r="D17" s="57"/>
      <c r="E17" s="54"/>
      <c r="F17" s="54"/>
      <c r="G17" s="54"/>
      <c r="H17" s="54"/>
      <c r="I17" s="54"/>
      <c r="J17" s="54"/>
      <c r="K17" s="44">
        <f t="shared" si="0"/>
        <v>42.2945</v>
      </c>
    </row>
    <row r="18" s="17" customFormat="1" ht="23.1" customHeight="1" spans="1:13">
      <c r="A18" s="48"/>
      <c r="B18" s="52" t="s">
        <v>18</v>
      </c>
      <c r="C18" s="58" t="s">
        <v>49</v>
      </c>
      <c r="D18" s="54"/>
      <c r="E18" s="54"/>
      <c r="F18" s="54"/>
      <c r="G18" s="54"/>
      <c r="H18" s="54"/>
      <c r="I18" s="54"/>
      <c r="J18" s="54"/>
      <c r="K18" s="44">
        <v>24</v>
      </c>
    </row>
    <row r="19" s="17" customFormat="1" ht="23.1" customHeight="1" spans="1:13">
      <c r="A19" s="48"/>
      <c r="B19" s="52" t="s">
        <v>50</v>
      </c>
      <c r="C19" s="54"/>
      <c r="D19" s="54"/>
      <c r="E19" s="54"/>
      <c r="F19" s="54"/>
      <c r="G19" s="54"/>
      <c r="H19" s="54"/>
      <c r="I19" s="54"/>
      <c r="J19" s="54"/>
      <c r="K19" s="44"/>
    </row>
    <row r="20" s="17" customFormat="1" ht="23.1" customHeight="1" spans="1:13">
      <c r="A20" s="48"/>
      <c r="B20" s="59" t="s">
        <v>51</v>
      </c>
      <c r="C20" s="60"/>
      <c r="D20" s="60"/>
      <c r="E20" s="60"/>
      <c r="F20" s="60"/>
      <c r="G20" s="61"/>
      <c r="H20" s="61"/>
      <c r="I20" s="61"/>
      <c r="J20" s="61"/>
      <c r="K20" s="62">
        <f>SUM(K13:K19)</f>
        <v>1030.6091</v>
      </c>
      <c r="M20" s="63"/>
    </row>
    <row r="21" s="17" customFormat="1" ht="3" customHeight="1" spans="1:1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64"/>
    </row>
    <row r="22" s="17" customFormat="1" ht="3" customHeight="1" spans="1:1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64"/>
    </row>
    <row r="23" s="17" customFormat="1" ht="23.1" customHeight="1" spans="1:13">
      <c r="A23" s="48"/>
      <c r="B23" s="65" t="s">
        <v>52</v>
      </c>
      <c r="C23" s="66"/>
      <c r="D23" s="66"/>
      <c r="E23" s="66" t="s">
        <v>53</v>
      </c>
      <c r="F23" s="66"/>
      <c r="G23" s="48" t="s">
        <v>54</v>
      </c>
      <c r="H23" s="48" t="s">
        <v>55</v>
      </c>
      <c r="I23" s="48"/>
      <c r="J23" s="48"/>
      <c r="K23" s="48"/>
    </row>
    <row r="24" s="17" customFormat="1" ht="23.1" customHeight="1" spans="1:13">
      <c r="A24" s="48"/>
      <c r="B24" s="67" t="s">
        <v>56</v>
      </c>
      <c r="C24" s="68"/>
      <c r="D24" s="68"/>
      <c r="E24" s="68" t="str">
        <f>B9</f>
        <v>Front EndBell Machining</v>
      </c>
      <c r="F24" s="68"/>
      <c r="G24" s="83" t="s">
        <v>31</v>
      </c>
      <c r="H24" s="48"/>
      <c r="I24" s="48"/>
      <c r="J24" s="48"/>
      <c r="K24" s="48"/>
    </row>
    <row r="25" s="17" customFormat="1" ht="23.1" customHeight="1" spans="1:13">
      <c r="A25" s="48"/>
      <c r="B25" s="69" t="s">
        <v>57</v>
      </c>
      <c r="C25" s="70"/>
      <c r="D25" s="70"/>
      <c r="E25" s="70"/>
      <c r="F25" s="71"/>
      <c r="G25" s="48"/>
      <c r="H25" s="48"/>
      <c r="I25" s="48"/>
      <c r="J25" s="48"/>
      <c r="K25" s="48"/>
    </row>
    <row r="26" s="17" customFormat="1" ht="23.1" customHeight="1" spans="1:13">
      <c r="A26" s="48"/>
      <c r="B26" s="69" t="s">
        <v>58</v>
      </c>
      <c r="C26" s="70" t="s">
        <v>59</v>
      </c>
      <c r="D26" s="70" t="s">
        <v>60</v>
      </c>
      <c r="E26" s="70" t="s">
        <v>61</v>
      </c>
      <c r="F26" s="70" t="s">
        <v>62</v>
      </c>
      <c r="G26" s="48"/>
      <c r="H26" s="48"/>
      <c r="I26" s="48"/>
      <c r="J26" s="48"/>
      <c r="K26" s="48"/>
    </row>
    <row r="27" s="17" customFormat="1" ht="23.1" customHeight="1" spans="1:13">
      <c r="A27" s="48"/>
      <c r="B27" s="72" t="s">
        <v>63</v>
      </c>
      <c r="C27" s="73" t="s">
        <v>64</v>
      </c>
      <c r="D27" s="73">
        <v>1</v>
      </c>
      <c r="E27" s="74"/>
      <c r="F27" s="75">
        <v>34</v>
      </c>
      <c r="G27" s="48"/>
      <c r="H27" s="48"/>
      <c r="I27" s="48"/>
      <c r="J27" s="48"/>
      <c r="K27" s="48"/>
    </row>
    <row r="28" s="17" customFormat="1" ht="28.5" customHeight="1" spans="1:13">
      <c r="A28" s="48"/>
      <c r="B28" s="76" t="s">
        <v>65</v>
      </c>
      <c r="C28" s="77" t="s">
        <v>66</v>
      </c>
      <c r="D28" s="77"/>
      <c r="E28" s="77"/>
      <c r="F28" s="78">
        <v>15</v>
      </c>
      <c r="G28" s="48"/>
      <c r="H28" s="48"/>
      <c r="I28" s="48"/>
      <c r="J28" s="48"/>
      <c r="K28" s="48"/>
    </row>
    <row r="29" s="17" customFormat="1" ht="23.1" customHeight="1" spans="1:13">
      <c r="A29" s="48"/>
      <c r="B29" s="76"/>
      <c r="C29" s="77"/>
      <c r="D29" s="77"/>
      <c r="E29" s="77"/>
      <c r="F29" s="78"/>
      <c r="G29" s="48"/>
      <c r="H29" s="48"/>
      <c r="I29" s="48"/>
      <c r="J29" s="48"/>
      <c r="K29" s="48"/>
    </row>
    <row r="30" s="17" customFormat="1" ht="31.5" customHeight="1" spans="1:13">
      <c r="A30" s="48"/>
      <c r="B30" s="76"/>
      <c r="C30" s="77"/>
      <c r="D30" s="77"/>
      <c r="E30" s="77"/>
      <c r="F30" s="78"/>
      <c r="G30" s="48"/>
      <c r="H30" s="48"/>
      <c r="I30" s="48"/>
      <c r="J30" s="48"/>
      <c r="K30" s="48"/>
    </row>
    <row r="31" s="17" customFormat="1" ht="23.1" customHeight="1" spans="1:13">
      <c r="A31" s="48"/>
      <c r="B31" s="79" t="s">
        <v>67</v>
      </c>
      <c r="C31" s="80"/>
      <c r="D31" s="80"/>
      <c r="E31" s="81"/>
      <c r="F31" s="82">
        <f>SUM(F27:F30)</f>
        <v>49</v>
      </c>
      <c r="G31" s="48"/>
      <c r="H31" s="48"/>
      <c r="I31" s="48"/>
      <c r="J31" s="48"/>
      <c r="K31" s="48"/>
    </row>
    <row r="32" s="17" customFormat="1" ht="23.1" customHeight="1"/>
    <row r="33" customFormat="1"/>
    <row r="34" customFormat="1"/>
  </sheetData>
  <mergeCells count="9">
    <mergeCell ref="A1:I1"/>
    <mergeCell ref="B13:F13"/>
    <mergeCell ref="B20:F20"/>
    <mergeCell ref="B23:C23"/>
    <mergeCell ref="E23:F23"/>
    <mergeCell ref="B24:C24"/>
    <mergeCell ref="E24:F24"/>
    <mergeCell ref="B25:E25"/>
    <mergeCell ref="B31:E31"/>
  </mergeCells>
  <printOptions horizontalCentered="1"/>
  <pageMargins left="0.708661417322835" right="0.354330708661417" top="0.551181102362205" bottom="0.551181102362205" header="0.31496062992126" footer="0.31496062992126"/>
  <pageSetup paperSize="9" scale="72" orientation="landscape"/>
  <headerFooter>
    <oddHeader>&amp;R21-10-2022</oddHeader>
    <oddFooter>&amp;L&amp;Z&amp;F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4"/>
  <sheetViews>
    <sheetView showGridLines="0" topLeftCell="A10" workbookViewId="0">
      <selection activeCell="F29" sqref="F29"/>
    </sheetView>
  </sheetViews>
  <sheetFormatPr defaultColWidth="9.14285714285714" defaultRowHeight="15"/>
  <cols>
    <col min="1" max="1" width="9.14285714285714" style="18"/>
    <col min="2" max="2" width="32.8571428571429" style="18" customWidth="1"/>
    <col min="3" max="3" width="21.7142857142857" style="18" customWidth="1"/>
    <col min="4" max="4" width="8.71428571428571" style="18" customWidth="1"/>
    <col min="5" max="5" width="13.4285714285714" style="18" customWidth="1"/>
    <col min="6" max="7" width="16.5714285714286" style="18" customWidth="1"/>
    <col min="8" max="8" width="12.4285714285714" style="18" customWidth="1"/>
    <col min="9" max="9" width="14" style="18" customWidth="1"/>
    <col min="10" max="10" width="14.5714285714286" style="18" customWidth="1"/>
    <col min="11" max="11" width="14.8571428571429" style="18" customWidth="1"/>
    <col min="12" max="16384" width="9.14285714285714" style="18"/>
  </cols>
  <sheetData>
    <row r="1" s="15" customFormat="1" ht="63.95" customHeight="1" spans="1:12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1"/>
      <c r="K1" s="22"/>
    </row>
    <row r="2" ht="15.75" spans="1:12">
      <c r="A2" s="23"/>
      <c r="B2" s="24" t="str">
        <f>'AR11138'!$B$2</f>
        <v>FR 25/248</v>
      </c>
      <c r="C2" s="23"/>
      <c r="D2" s="23"/>
      <c r="E2" s="23"/>
      <c r="F2" s="23"/>
      <c r="G2" s="23"/>
      <c r="H2" s="23"/>
      <c r="I2" s="23"/>
      <c r="J2" s="25" t="s">
        <v>2</v>
      </c>
      <c r="K2" s="26">
        <v>46119</v>
      </c>
    </row>
    <row r="3" ht="31.5" spans="1:12">
      <c r="A3" s="23"/>
      <c r="B3" s="27" t="s">
        <v>3</v>
      </c>
      <c r="C3" s="23"/>
      <c r="D3" s="23"/>
      <c r="E3" s="23"/>
      <c r="F3" s="23"/>
      <c r="G3" s="23"/>
      <c r="H3" s="23"/>
      <c r="I3" s="23"/>
      <c r="J3" s="23"/>
      <c r="K3" s="23"/>
    </row>
    <row r="4" ht="3" customHeight="1" spans="1:12">
      <c r="A4" s="23"/>
      <c r="B4" s="28"/>
      <c r="C4" s="23"/>
      <c r="D4" s="23"/>
      <c r="E4" s="23"/>
      <c r="F4" s="23"/>
      <c r="G4" s="23"/>
      <c r="H4" s="23"/>
      <c r="I4" s="23"/>
      <c r="J4" s="23"/>
      <c r="K4" s="23"/>
    </row>
    <row r="5" ht="15.75" spans="1:12">
      <c r="A5" s="23"/>
      <c r="B5" s="29" t="s">
        <v>4</v>
      </c>
      <c r="C5" s="23"/>
      <c r="D5" s="23"/>
      <c r="E5" s="23"/>
      <c r="F5" s="23"/>
      <c r="G5" s="23"/>
      <c r="H5" s="23"/>
      <c r="I5" s="23"/>
      <c r="J5" s="23"/>
      <c r="K5" s="23"/>
    </row>
    <row r="6" ht="3" customHeight="1" spans="1:1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="16" customFormat="1" ht="30" customHeight="1" spans="1:12">
      <c r="A7" s="30"/>
      <c r="B7" s="31" t="s">
        <v>33</v>
      </c>
      <c r="C7" s="31" t="s">
        <v>28</v>
      </c>
      <c r="D7" s="31"/>
      <c r="E7" s="30"/>
      <c r="F7" s="30"/>
      <c r="G7" s="30"/>
      <c r="H7" s="30"/>
      <c r="I7" s="32" t="s">
        <v>34</v>
      </c>
      <c r="J7" s="33">
        <v>48000</v>
      </c>
      <c r="K7" s="30"/>
    </row>
    <row r="8" s="17" customFormat="1" ht="31.5" spans="1:12">
      <c r="A8" s="34" t="s">
        <v>35</v>
      </c>
      <c r="B8" s="35" t="s">
        <v>36</v>
      </c>
      <c r="C8" s="34" t="s">
        <v>37</v>
      </c>
      <c r="D8" s="34" t="s">
        <v>38</v>
      </c>
      <c r="E8" s="36" t="s">
        <v>39</v>
      </c>
      <c r="F8" s="36" t="s">
        <v>40</v>
      </c>
      <c r="G8" s="36" t="s">
        <v>41</v>
      </c>
      <c r="H8" s="34" t="s">
        <v>42</v>
      </c>
      <c r="I8" s="36" t="s">
        <v>43</v>
      </c>
      <c r="J8" s="36" t="s">
        <v>44</v>
      </c>
      <c r="K8" s="37" t="s">
        <v>13</v>
      </c>
    </row>
    <row r="9" s="17" customFormat="1" ht="23.1" customHeight="1" spans="1:12">
      <c r="A9" s="38">
        <v>1</v>
      </c>
      <c r="B9" s="39" t="s">
        <v>68</v>
      </c>
      <c r="C9" s="40" t="s">
        <v>26</v>
      </c>
      <c r="D9" s="40">
        <v>1</v>
      </c>
      <c r="E9" s="41">
        <f>0.99</f>
        <v>0.99</v>
      </c>
      <c r="F9" s="41">
        <v>325</v>
      </c>
      <c r="G9" s="42">
        <f>E9*F9</f>
        <v>321.75</v>
      </c>
      <c r="H9" s="42">
        <v>70</v>
      </c>
      <c r="I9" s="42">
        <v>115</v>
      </c>
      <c r="J9" s="43"/>
      <c r="K9" s="44">
        <f>G9+H9+I9</f>
        <v>506.75</v>
      </c>
      <c r="L9" s="45"/>
    </row>
    <row r="10" s="17" customFormat="1" ht="23.1" customHeight="1" spans="1:12">
      <c r="A10" s="38"/>
      <c r="B10" s="39"/>
      <c r="C10" s="40"/>
      <c r="D10" s="46"/>
      <c r="E10" s="41"/>
      <c r="F10" s="41"/>
      <c r="G10" s="42"/>
      <c r="H10" s="42"/>
      <c r="I10" s="42"/>
      <c r="J10" s="38"/>
      <c r="K10" s="44"/>
    </row>
    <row r="11" s="17" customFormat="1" ht="23.1" customHeight="1" spans="1:12">
      <c r="A11" s="38"/>
      <c r="B11" s="39"/>
      <c r="C11" s="46"/>
      <c r="D11" s="46"/>
      <c r="E11" s="41"/>
      <c r="F11" s="42"/>
      <c r="G11" s="42"/>
      <c r="H11" s="42"/>
      <c r="I11" s="42"/>
      <c r="J11" s="38"/>
      <c r="K11" s="44"/>
    </row>
    <row r="12" s="17" customFormat="1" ht="23.1" customHeight="1" spans="1:12">
      <c r="A12" s="38"/>
      <c r="B12" s="46"/>
      <c r="C12" s="46"/>
      <c r="D12" s="46"/>
      <c r="E12" s="46"/>
      <c r="F12" s="47"/>
      <c r="G12" s="42"/>
      <c r="H12" s="47"/>
      <c r="I12" s="42"/>
      <c r="J12" s="38"/>
      <c r="K12" s="44"/>
    </row>
    <row r="13" s="17" customFormat="1" ht="23.1" customHeight="1" spans="1:12">
      <c r="A13" s="48"/>
      <c r="B13" s="49" t="s">
        <v>46</v>
      </c>
      <c r="C13" s="50"/>
      <c r="D13" s="50"/>
      <c r="E13" s="50"/>
      <c r="F13" s="50"/>
      <c r="G13" s="51">
        <f>SUM(G9:G12)</f>
        <v>321.75</v>
      </c>
      <c r="H13" s="51">
        <f>SUM(H9:H12)</f>
        <v>70</v>
      </c>
      <c r="I13" s="51">
        <f>SUM(I9:I12)</f>
        <v>115</v>
      </c>
      <c r="J13" s="51">
        <f>SUM(J9:J12)</f>
        <v>0</v>
      </c>
      <c r="K13" s="44">
        <f>SUM(K9:K12)</f>
        <v>506.75</v>
      </c>
    </row>
    <row r="14" s="17" customFormat="1" ht="23.1" customHeight="1" spans="1:12">
      <c r="A14" s="48"/>
      <c r="B14" s="52" t="s">
        <v>14</v>
      </c>
      <c r="C14" s="53">
        <v>0.02</v>
      </c>
      <c r="D14" s="53"/>
      <c r="E14" s="54"/>
      <c r="F14" s="54"/>
      <c r="G14" s="54"/>
      <c r="H14" s="54"/>
      <c r="I14" s="54"/>
      <c r="J14" s="54"/>
      <c r="K14" s="55">
        <f>$K$13*C14</f>
        <v>10.135</v>
      </c>
    </row>
    <row r="15" s="17" customFormat="1" ht="31.9" customHeight="1" spans="1:12">
      <c r="A15" s="48"/>
      <c r="B15" s="56" t="s">
        <v>47</v>
      </c>
      <c r="C15" s="53">
        <v>0.02</v>
      </c>
      <c r="D15" s="53"/>
      <c r="E15" s="54"/>
      <c r="F15" s="54"/>
      <c r="G15" s="54"/>
      <c r="H15" s="54"/>
      <c r="I15" s="54"/>
      <c r="J15" s="43"/>
      <c r="K15" s="55">
        <f>$K$13*C15</f>
        <v>10.135</v>
      </c>
    </row>
    <row r="16" s="17" customFormat="1" ht="23.1" customHeight="1" spans="1:12">
      <c r="A16" s="48"/>
      <c r="B16" s="52" t="s">
        <v>17</v>
      </c>
      <c r="C16" s="57">
        <v>0.1</v>
      </c>
      <c r="D16" s="57"/>
      <c r="E16" s="54"/>
      <c r="F16" s="54"/>
      <c r="G16" s="54"/>
      <c r="H16" s="54"/>
      <c r="I16" s="54"/>
      <c r="J16" s="54"/>
      <c r="K16" s="44">
        <f t="shared" ref="K16:K17" si="0">$K$13*C16</f>
        <v>50.675</v>
      </c>
    </row>
    <row r="17" s="17" customFormat="1" ht="23.1" customHeight="1" spans="1:13">
      <c r="A17" s="48"/>
      <c r="B17" s="52" t="s">
        <v>48</v>
      </c>
      <c r="C17" s="57">
        <v>0.05</v>
      </c>
      <c r="D17" s="57"/>
      <c r="E17" s="54"/>
      <c r="F17" s="54"/>
      <c r="G17" s="54"/>
      <c r="H17" s="54"/>
      <c r="I17" s="54"/>
      <c r="J17" s="54"/>
      <c r="K17" s="44">
        <f t="shared" si="0"/>
        <v>25.3375</v>
      </c>
    </row>
    <row r="18" s="17" customFormat="1" ht="23.1" customHeight="1" spans="1:13">
      <c r="A18" s="48"/>
      <c r="B18" s="52" t="s">
        <v>18</v>
      </c>
      <c r="C18" s="58" t="s">
        <v>49</v>
      </c>
      <c r="D18" s="54"/>
      <c r="E18" s="54"/>
      <c r="F18" s="54"/>
      <c r="G18" s="54"/>
      <c r="H18" s="54"/>
      <c r="I18" s="54"/>
      <c r="J18" s="54"/>
      <c r="K18" s="44">
        <v>12</v>
      </c>
    </row>
    <row r="19" s="17" customFormat="1" ht="23.1" customHeight="1" spans="1:13">
      <c r="A19" s="48"/>
      <c r="B19" s="52" t="s">
        <v>50</v>
      </c>
      <c r="C19" s="54"/>
      <c r="D19" s="54"/>
      <c r="E19" s="54"/>
      <c r="F19" s="54"/>
      <c r="G19" s="54"/>
      <c r="H19" s="54"/>
      <c r="I19" s="54"/>
      <c r="J19" s="54"/>
      <c r="K19" s="44"/>
    </row>
    <row r="20" s="17" customFormat="1" ht="23.1" customHeight="1" spans="1:13">
      <c r="A20" s="48"/>
      <c r="B20" s="59" t="s">
        <v>51</v>
      </c>
      <c r="C20" s="60"/>
      <c r="D20" s="60"/>
      <c r="E20" s="60"/>
      <c r="F20" s="60"/>
      <c r="G20" s="61"/>
      <c r="H20" s="61"/>
      <c r="I20" s="61"/>
      <c r="J20" s="61"/>
      <c r="K20" s="62">
        <f>SUM(K13:K19)</f>
        <v>615.0325</v>
      </c>
      <c r="M20" s="63"/>
    </row>
    <row r="21" s="17" customFormat="1" ht="3" customHeight="1" spans="1:1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64"/>
    </row>
    <row r="22" s="17" customFormat="1" ht="3" customHeight="1" spans="1:1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64"/>
    </row>
    <row r="23" s="17" customFormat="1" ht="23.1" customHeight="1" spans="1:13">
      <c r="A23" s="48"/>
      <c r="B23" s="65" t="s">
        <v>52</v>
      </c>
      <c r="C23" s="66"/>
      <c r="D23" s="66"/>
      <c r="E23" s="66" t="s">
        <v>53</v>
      </c>
      <c r="F23" s="66"/>
      <c r="G23" s="48" t="s">
        <v>54</v>
      </c>
      <c r="H23" s="48" t="s">
        <v>55</v>
      </c>
      <c r="I23" s="48"/>
      <c r="J23" s="48"/>
      <c r="K23" s="48"/>
    </row>
    <row r="24" s="17" customFormat="1" ht="23.1" customHeight="1" spans="1:13">
      <c r="A24" s="48"/>
      <c r="B24" s="67" t="s">
        <v>56</v>
      </c>
      <c r="C24" s="68"/>
      <c r="D24" s="68"/>
      <c r="E24" s="68" t="str">
        <f>B9</f>
        <v>Rear Endbell Machining</v>
      </c>
      <c r="F24" s="68"/>
      <c r="G24" s="48"/>
      <c r="H24" s="48"/>
      <c r="I24" s="48"/>
      <c r="J24" s="48"/>
      <c r="K24" s="48"/>
    </row>
    <row r="25" s="17" customFormat="1" ht="23.1" customHeight="1" spans="1:13">
      <c r="A25" s="48"/>
      <c r="B25" s="69" t="s">
        <v>57</v>
      </c>
      <c r="C25" s="70"/>
      <c r="D25" s="70"/>
      <c r="E25" s="70"/>
      <c r="F25" s="71"/>
      <c r="G25" s="48"/>
      <c r="H25" s="48"/>
      <c r="I25" s="48"/>
      <c r="J25" s="48"/>
      <c r="K25" s="48"/>
    </row>
    <row r="26" s="17" customFormat="1" ht="23.1" customHeight="1" spans="1:13">
      <c r="A26" s="48"/>
      <c r="B26" s="69" t="s">
        <v>58</v>
      </c>
      <c r="C26" s="70" t="s">
        <v>59</v>
      </c>
      <c r="D26" s="70" t="s">
        <v>60</v>
      </c>
      <c r="E26" s="70" t="s">
        <v>61</v>
      </c>
      <c r="F26" s="70" t="s">
        <v>62</v>
      </c>
      <c r="G26" s="48"/>
      <c r="H26" s="48"/>
      <c r="I26" s="48"/>
      <c r="J26" s="48"/>
      <c r="K26" s="48"/>
    </row>
    <row r="27" s="17" customFormat="1" ht="23.1" customHeight="1" spans="1:13">
      <c r="A27" s="48"/>
      <c r="B27" s="72" t="s">
        <v>69</v>
      </c>
      <c r="C27" s="73" t="s">
        <v>64</v>
      </c>
      <c r="D27" s="73">
        <v>1</v>
      </c>
      <c r="E27" s="74"/>
      <c r="F27" s="75">
        <v>30</v>
      </c>
      <c r="G27" s="48"/>
      <c r="H27" s="48"/>
      <c r="I27" s="48"/>
      <c r="J27" s="48"/>
      <c r="K27" s="48"/>
    </row>
    <row r="28" s="17" customFormat="1" ht="28.5" customHeight="1" spans="1:13">
      <c r="A28" s="48"/>
      <c r="B28" s="76" t="s">
        <v>65</v>
      </c>
      <c r="C28" s="77" t="s">
        <v>66</v>
      </c>
      <c r="D28" s="77"/>
      <c r="E28" s="77"/>
      <c r="F28" s="78">
        <v>15</v>
      </c>
      <c r="G28" s="48"/>
      <c r="H28" s="48"/>
      <c r="I28" s="48"/>
      <c r="J28" s="48"/>
      <c r="K28" s="48"/>
    </row>
    <row r="29" s="17" customFormat="1" ht="23.1" customHeight="1" spans="1:13">
      <c r="A29" s="48"/>
      <c r="B29" s="76"/>
      <c r="C29" s="77"/>
      <c r="D29" s="77"/>
      <c r="E29" s="77"/>
      <c r="F29" s="78"/>
      <c r="G29" s="48"/>
      <c r="H29" s="48"/>
      <c r="I29" s="48"/>
      <c r="J29" s="48"/>
      <c r="K29" s="48"/>
    </row>
    <row r="30" s="17" customFormat="1" ht="31.5" customHeight="1" spans="1:13">
      <c r="A30" s="48"/>
      <c r="B30" s="76"/>
      <c r="C30" s="77"/>
      <c r="D30" s="77"/>
      <c r="E30" s="77"/>
      <c r="F30" s="78"/>
      <c r="G30" s="48"/>
      <c r="H30" s="48"/>
      <c r="I30" s="48"/>
      <c r="J30" s="48"/>
      <c r="K30" s="48"/>
    </row>
    <row r="31" s="17" customFormat="1" ht="23.1" customHeight="1" spans="1:13">
      <c r="A31" s="48"/>
      <c r="B31" s="79" t="s">
        <v>67</v>
      </c>
      <c r="C31" s="80"/>
      <c r="D31" s="80"/>
      <c r="E31" s="81"/>
      <c r="F31" s="82">
        <f>SUM(F27:F30)</f>
        <v>45</v>
      </c>
      <c r="G31" s="48"/>
      <c r="H31" s="48"/>
      <c r="I31" s="48"/>
      <c r="J31" s="48"/>
      <c r="K31" s="48"/>
    </row>
    <row r="32" s="17" customFormat="1" ht="23.1" customHeight="1"/>
    <row r="33" customFormat="1"/>
    <row r="34" customFormat="1"/>
  </sheetData>
  <mergeCells count="9">
    <mergeCell ref="A1:I1"/>
    <mergeCell ref="B13:F13"/>
    <mergeCell ref="B20:F20"/>
    <mergeCell ref="B23:C23"/>
    <mergeCell ref="E23:F23"/>
    <mergeCell ref="B24:C24"/>
    <mergeCell ref="E24:F24"/>
    <mergeCell ref="B25:E25"/>
    <mergeCell ref="B31:E31"/>
  </mergeCells>
  <printOptions horizontalCentered="1"/>
  <pageMargins left="0.708661417322835" right="0.354330708661417" top="0.551181102362205" bottom="0.551181102362205" header="0.31496062992126" footer="0.31496062992126"/>
  <pageSetup paperSize="9" scale="72" orientation="landscape"/>
  <headerFooter>
    <oddHeader>&amp;R21-10-2022</oddHeader>
    <oddFooter>&amp;L&amp;Z&amp;F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4"/>
  <sheetViews>
    <sheetView showGridLines="0" topLeftCell="A2" workbookViewId="0">
      <selection activeCell="F28" sqref="F28"/>
    </sheetView>
  </sheetViews>
  <sheetFormatPr defaultColWidth="9.14285714285714" defaultRowHeight="15"/>
  <cols>
    <col min="1" max="1" width="9.14285714285714" style="18"/>
    <col min="2" max="2" width="32.8571428571429" style="18" customWidth="1"/>
    <col min="3" max="3" width="21.7142857142857" style="18" customWidth="1"/>
    <col min="4" max="4" width="8.71428571428571" style="18" customWidth="1"/>
    <col min="5" max="5" width="13.4285714285714" style="18" customWidth="1"/>
    <col min="6" max="7" width="16.5714285714286" style="18" customWidth="1"/>
    <col min="8" max="8" width="12.4285714285714" style="18" customWidth="1"/>
    <col min="9" max="9" width="14" style="18" customWidth="1"/>
    <col min="10" max="10" width="14.5714285714286" style="18" customWidth="1"/>
    <col min="11" max="11" width="14.8571428571429" style="18" customWidth="1"/>
    <col min="12" max="16384" width="9.14285714285714" style="18"/>
  </cols>
  <sheetData>
    <row r="1" s="15" customFormat="1" ht="63.95" customHeight="1" spans="1:12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1"/>
      <c r="K1" s="22"/>
    </row>
    <row r="2" ht="15.75" spans="1:12">
      <c r="A2" s="23"/>
      <c r="B2" s="24" t="str">
        <f>'AR11138'!$B$2</f>
        <v>FR 25/248</v>
      </c>
      <c r="C2" s="23"/>
      <c r="D2" s="23"/>
      <c r="E2" s="23"/>
      <c r="F2" s="23"/>
      <c r="G2" s="23"/>
      <c r="H2" s="23"/>
      <c r="I2" s="23"/>
      <c r="J2" s="25" t="s">
        <v>2</v>
      </c>
      <c r="K2" s="26">
        <v>46123</v>
      </c>
    </row>
    <row r="3" ht="31.5" spans="1:12">
      <c r="A3" s="23"/>
      <c r="B3" s="27" t="s">
        <v>3</v>
      </c>
      <c r="C3" s="23"/>
      <c r="D3" s="23"/>
      <c r="E3" s="23"/>
      <c r="F3" s="23"/>
      <c r="G3" s="23"/>
      <c r="H3" s="23"/>
      <c r="I3" s="23"/>
      <c r="J3" s="23"/>
      <c r="K3" s="23"/>
    </row>
    <row r="4" ht="3" customHeight="1" spans="1:12">
      <c r="A4" s="23"/>
      <c r="B4" s="28"/>
      <c r="C4" s="23"/>
      <c r="D4" s="23"/>
      <c r="E4" s="23"/>
      <c r="F4" s="23"/>
      <c r="G4" s="23"/>
      <c r="H4" s="23"/>
      <c r="I4" s="23"/>
      <c r="J4" s="23"/>
      <c r="K4" s="23"/>
    </row>
    <row r="5" ht="15.75" spans="1:12">
      <c r="A5" s="23"/>
      <c r="B5" s="29" t="s">
        <v>4</v>
      </c>
      <c r="C5" s="23"/>
      <c r="D5" s="23"/>
      <c r="E5" s="23"/>
      <c r="F5" s="23"/>
      <c r="G5" s="23"/>
      <c r="H5" s="23"/>
      <c r="I5" s="23"/>
      <c r="J5" s="23"/>
      <c r="K5" s="23"/>
    </row>
    <row r="6" ht="3" customHeight="1" spans="1:1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="16" customFormat="1" ht="30" customHeight="1" spans="1:12">
      <c r="A7" s="30"/>
      <c r="B7" s="31" t="s">
        <v>33</v>
      </c>
      <c r="C7" s="31" t="s">
        <v>70</v>
      </c>
      <c r="D7" s="31"/>
      <c r="E7" s="30"/>
      <c r="F7" s="30"/>
      <c r="G7" s="30"/>
      <c r="H7" s="30"/>
      <c r="I7" s="32" t="s">
        <v>34</v>
      </c>
      <c r="J7" s="33">
        <v>48000</v>
      </c>
      <c r="K7" s="30"/>
    </row>
    <row r="8" s="17" customFormat="1" ht="31.5" spans="1:12">
      <c r="A8" s="34" t="s">
        <v>35</v>
      </c>
      <c r="B8" s="35" t="s">
        <v>36</v>
      </c>
      <c r="C8" s="34" t="s">
        <v>37</v>
      </c>
      <c r="D8" s="34" t="s">
        <v>38</v>
      </c>
      <c r="E8" s="36" t="s">
        <v>39</v>
      </c>
      <c r="F8" s="36" t="s">
        <v>40</v>
      </c>
      <c r="G8" s="36" t="s">
        <v>41</v>
      </c>
      <c r="H8" s="34" t="s">
        <v>42</v>
      </c>
      <c r="I8" s="36" t="s">
        <v>43</v>
      </c>
      <c r="J8" s="36" t="s">
        <v>44</v>
      </c>
      <c r="K8" s="37" t="s">
        <v>13</v>
      </c>
    </row>
    <row r="9" s="17" customFormat="1" ht="23.1" customHeight="1" spans="1:12">
      <c r="A9" s="38">
        <v>1</v>
      </c>
      <c r="B9" s="39" t="s">
        <v>71</v>
      </c>
      <c r="C9" s="40" t="s">
        <v>26</v>
      </c>
      <c r="D9" s="40">
        <v>1</v>
      </c>
      <c r="E9" s="41">
        <v>0.09</v>
      </c>
      <c r="F9" s="41">
        <v>325</v>
      </c>
      <c r="G9" s="42">
        <f>E9*F9</f>
        <v>29.25</v>
      </c>
      <c r="H9" s="42">
        <v>16</v>
      </c>
      <c r="I9" s="42"/>
      <c r="J9" s="43"/>
      <c r="K9" s="44">
        <f>G9+H9+I9</f>
        <v>45.25</v>
      </c>
      <c r="L9" s="45"/>
    </row>
    <row r="10" s="17" customFormat="1" ht="23.1" customHeight="1" spans="1:12">
      <c r="A10" s="38"/>
      <c r="B10" s="39" t="s">
        <v>72</v>
      </c>
      <c r="C10" s="40"/>
      <c r="D10" s="46"/>
      <c r="E10" s="41"/>
      <c r="F10" s="41"/>
      <c r="G10" s="42"/>
      <c r="H10" s="42"/>
      <c r="I10" s="42"/>
      <c r="J10" s="38"/>
      <c r="K10" s="44"/>
    </row>
    <row r="11" s="17" customFormat="1" ht="23.1" customHeight="1" spans="1:12">
      <c r="A11" s="38"/>
      <c r="B11" s="39"/>
      <c r="C11" s="46"/>
      <c r="D11" s="46"/>
      <c r="E11" s="41"/>
      <c r="F11" s="42"/>
      <c r="G11" s="42"/>
      <c r="H11" s="42"/>
      <c r="I11" s="42"/>
      <c r="J11" s="38"/>
      <c r="K11" s="44"/>
    </row>
    <row r="12" s="17" customFormat="1" ht="23.1" customHeight="1" spans="1:12">
      <c r="A12" s="38"/>
      <c r="B12" s="46"/>
      <c r="C12" s="46"/>
      <c r="D12" s="46"/>
      <c r="E12" s="46"/>
      <c r="F12" s="47"/>
      <c r="G12" s="42"/>
      <c r="H12" s="47"/>
      <c r="I12" s="42"/>
      <c r="J12" s="38"/>
      <c r="K12" s="44"/>
    </row>
    <row r="13" s="17" customFormat="1" ht="23.1" customHeight="1" spans="1:12">
      <c r="A13" s="48"/>
      <c r="B13" s="49" t="s">
        <v>46</v>
      </c>
      <c r="C13" s="50"/>
      <c r="D13" s="50"/>
      <c r="E13" s="50"/>
      <c r="F13" s="50"/>
      <c r="G13" s="51">
        <f>SUM(G9:G12)</f>
        <v>29.25</v>
      </c>
      <c r="H13" s="51">
        <f>SUM(H9:H12)</f>
        <v>16</v>
      </c>
      <c r="I13" s="51">
        <f>SUM(I9:I12)</f>
        <v>0</v>
      </c>
      <c r="J13" s="51">
        <f>SUM(J9:J12)</f>
        <v>0</v>
      </c>
      <c r="K13" s="44">
        <f>SUM(K9:K12)</f>
        <v>45.25</v>
      </c>
    </row>
    <row r="14" s="17" customFormat="1" ht="23.1" customHeight="1" spans="1:12">
      <c r="A14" s="48"/>
      <c r="B14" s="52" t="s">
        <v>14</v>
      </c>
      <c r="C14" s="53">
        <v>0.02</v>
      </c>
      <c r="D14" s="53"/>
      <c r="E14" s="54"/>
      <c r="F14" s="54"/>
      <c r="G14" s="54"/>
      <c r="H14" s="54"/>
      <c r="I14" s="54"/>
      <c r="J14" s="54"/>
      <c r="K14" s="55">
        <f>$K$13*C14</f>
        <v>0.905</v>
      </c>
    </row>
    <row r="15" s="17" customFormat="1" ht="31.9" customHeight="1" spans="1:12">
      <c r="A15" s="48"/>
      <c r="B15" s="56" t="s">
        <v>47</v>
      </c>
      <c r="C15" s="53">
        <v>0.03</v>
      </c>
      <c r="D15" s="53"/>
      <c r="E15" s="54"/>
      <c r="F15" s="54"/>
      <c r="G15" s="54"/>
      <c r="H15" s="54"/>
      <c r="I15" s="54"/>
      <c r="J15" s="43"/>
      <c r="K15" s="55">
        <f>$K$13*C15</f>
        <v>1.3575</v>
      </c>
    </row>
    <row r="16" s="17" customFormat="1" ht="23.1" customHeight="1" spans="1:12">
      <c r="A16" s="48"/>
      <c r="B16" s="52" t="s">
        <v>17</v>
      </c>
      <c r="C16" s="57">
        <v>0.1</v>
      </c>
      <c r="D16" s="57"/>
      <c r="E16" s="54"/>
      <c r="F16" s="54"/>
      <c r="G16" s="54"/>
      <c r="H16" s="54"/>
      <c r="I16" s="54"/>
      <c r="J16" s="54"/>
      <c r="K16" s="44">
        <f t="shared" ref="K16:K17" si="0">$K$13*C16</f>
        <v>4.525</v>
      </c>
    </row>
    <row r="17" s="17" customFormat="1" ht="23.1" customHeight="1" spans="1:13">
      <c r="A17" s="48"/>
      <c r="B17" s="52" t="s">
        <v>48</v>
      </c>
      <c r="C17" s="57">
        <v>0.05</v>
      </c>
      <c r="D17" s="57"/>
      <c r="E17" s="54"/>
      <c r="F17" s="54"/>
      <c r="G17" s="54"/>
      <c r="H17" s="54"/>
      <c r="I17" s="54"/>
      <c r="J17" s="54"/>
      <c r="K17" s="44">
        <f t="shared" si="0"/>
        <v>2.2625</v>
      </c>
    </row>
    <row r="18" s="17" customFormat="1" ht="23.1" customHeight="1" spans="1:13">
      <c r="A18" s="48"/>
      <c r="B18" s="52" t="s">
        <v>18</v>
      </c>
      <c r="C18" s="58" t="s">
        <v>49</v>
      </c>
      <c r="D18" s="54"/>
      <c r="E18" s="54"/>
      <c r="F18" s="54"/>
      <c r="G18" s="54"/>
      <c r="H18" s="54"/>
      <c r="I18" s="54"/>
      <c r="J18" s="54"/>
      <c r="K18" s="44">
        <v>4</v>
      </c>
    </row>
    <row r="19" s="17" customFormat="1" ht="23.1" customHeight="1" spans="1:13">
      <c r="A19" s="48"/>
      <c r="B19" s="52" t="s">
        <v>50</v>
      </c>
      <c r="C19" s="54"/>
      <c r="D19" s="54"/>
      <c r="E19" s="54"/>
      <c r="F19" s="54"/>
      <c r="G19" s="54"/>
      <c r="H19" s="54"/>
      <c r="I19" s="54"/>
      <c r="J19" s="54"/>
      <c r="K19" s="44"/>
    </row>
    <row r="20" s="17" customFormat="1" ht="23.1" customHeight="1" spans="1:13">
      <c r="A20" s="48"/>
      <c r="B20" s="59" t="s">
        <v>51</v>
      </c>
      <c r="C20" s="60"/>
      <c r="D20" s="60"/>
      <c r="E20" s="60"/>
      <c r="F20" s="60"/>
      <c r="G20" s="61"/>
      <c r="H20" s="61"/>
      <c r="I20" s="61"/>
      <c r="J20" s="61"/>
      <c r="K20" s="62">
        <f>SUM(K13:K19)</f>
        <v>58.3</v>
      </c>
      <c r="M20" s="63"/>
    </row>
    <row r="21" s="17" customFormat="1" ht="3" customHeight="1" spans="1:1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64"/>
    </row>
    <row r="22" s="17" customFormat="1" ht="3" customHeight="1" spans="1:1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64"/>
    </row>
    <row r="23" s="17" customFormat="1" ht="23.1" customHeight="1" spans="1:13">
      <c r="A23" s="48"/>
      <c r="B23" s="65" t="s">
        <v>52</v>
      </c>
      <c r="C23" s="66"/>
      <c r="D23" s="66"/>
      <c r="E23" s="66" t="s">
        <v>53</v>
      </c>
      <c r="F23" s="66"/>
      <c r="G23" s="48" t="s">
        <v>54</v>
      </c>
      <c r="H23" s="48" t="s">
        <v>55</v>
      </c>
      <c r="I23" s="48"/>
      <c r="J23" s="48"/>
      <c r="K23" s="48"/>
    </row>
    <row r="24" s="17" customFormat="1" ht="23.1" customHeight="1" spans="1:13">
      <c r="A24" s="48"/>
      <c r="B24" s="67" t="s">
        <v>56</v>
      </c>
      <c r="C24" s="68"/>
      <c r="D24" s="68"/>
      <c r="E24" s="68" t="str">
        <f>B9</f>
        <v>Rotor Plate</v>
      </c>
      <c r="F24" s="68"/>
      <c r="G24" s="48"/>
      <c r="H24" s="48"/>
      <c r="I24" s="48"/>
      <c r="J24" s="48"/>
      <c r="K24" s="48"/>
    </row>
    <row r="25" s="17" customFormat="1" ht="23.1" customHeight="1" spans="1:13">
      <c r="A25" s="48"/>
      <c r="B25" s="69" t="s">
        <v>57</v>
      </c>
      <c r="C25" s="70"/>
      <c r="D25" s="70"/>
      <c r="E25" s="70"/>
      <c r="F25" s="71"/>
      <c r="G25" s="48"/>
      <c r="H25" s="48"/>
      <c r="I25" s="48"/>
      <c r="J25" s="48"/>
      <c r="K25" s="48"/>
    </row>
    <row r="26" s="17" customFormat="1" ht="23.1" customHeight="1" spans="1:13">
      <c r="A26" s="48"/>
      <c r="B26" s="69" t="s">
        <v>58</v>
      </c>
      <c r="C26" s="70" t="s">
        <v>59</v>
      </c>
      <c r="D26" s="70" t="s">
        <v>60</v>
      </c>
      <c r="E26" s="70" t="s">
        <v>61</v>
      </c>
      <c r="F26" s="70" t="s">
        <v>62</v>
      </c>
      <c r="G26" s="48"/>
      <c r="H26" s="48"/>
      <c r="I26" s="48"/>
      <c r="J26" s="48"/>
      <c r="K26" s="48"/>
    </row>
    <row r="27" s="17" customFormat="1" ht="23.1" customHeight="1" spans="1:13">
      <c r="A27" s="48"/>
      <c r="B27" s="72" t="s">
        <v>71</v>
      </c>
      <c r="C27" s="73" t="s">
        <v>64</v>
      </c>
      <c r="D27" s="73">
        <v>1</v>
      </c>
      <c r="E27" s="74"/>
      <c r="F27" s="75">
        <v>8</v>
      </c>
      <c r="G27" s="48"/>
      <c r="H27" s="48"/>
      <c r="I27" s="48"/>
      <c r="J27" s="48"/>
      <c r="K27" s="48"/>
    </row>
    <row r="28" s="17" customFormat="1" ht="28.5" customHeight="1" spans="1:13">
      <c r="A28" s="48"/>
      <c r="B28" s="76"/>
      <c r="C28" s="77"/>
      <c r="D28" s="77"/>
      <c r="E28" s="77"/>
      <c r="F28" s="78"/>
      <c r="G28" s="48"/>
      <c r="H28" s="48"/>
      <c r="I28" s="48"/>
      <c r="J28" s="48"/>
      <c r="K28" s="48"/>
    </row>
    <row r="29" s="17" customFormat="1" ht="23.1" customHeight="1" spans="1:13">
      <c r="A29" s="48"/>
      <c r="B29" s="76"/>
      <c r="C29" s="77"/>
      <c r="D29" s="77"/>
      <c r="E29" s="77"/>
      <c r="F29" s="78"/>
      <c r="G29" s="48"/>
      <c r="H29" s="48"/>
      <c r="I29" s="48"/>
      <c r="J29" s="48"/>
      <c r="K29" s="48"/>
    </row>
    <row r="30" s="17" customFormat="1" ht="31.5" customHeight="1" spans="1:13">
      <c r="A30" s="48"/>
      <c r="B30" s="76"/>
      <c r="C30" s="77"/>
      <c r="D30" s="77"/>
      <c r="E30" s="77"/>
      <c r="F30" s="78"/>
      <c r="G30" s="48"/>
      <c r="H30" s="48"/>
      <c r="I30" s="48"/>
      <c r="J30" s="48"/>
      <c r="K30" s="48"/>
    </row>
    <row r="31" s="17" customFormat="1" ht="23.1" customHeight="1" spans="1:13">
      <c r="A31" s="48"/>
      <c r="B31" s="79" t="s">
        <v>67</v>
      </c>
      <c r="C31" s="80"/>
      <c r="D31" s="80"/>
      <c r="E31" s="81"/>
      <c r="F31" s="82">
        <f>SUM(F27:F30)</f>
        <v>8</v>
      </c>
      <c r="G31" s="48"/>
      <c r="H31" s="48"/>
      <c r="I31" s="48"/>
      <c r="J31" s="48"/>
      <c r="K31" s="48"/>
    </row>
    <row r="32" s="17" customFormat="1" ht="23.1" customHeight="1"/>
    <row r="33" customFormat="1"/>
    <row r="34" customFormat="1"/>
  </sheetData>
  <mergeCells count="9">
    <mergeCell ref="A1:I1"/>
    <mergeCell ref="B13:F13"/>
    <mergeCell ref="B20:F20"/>
    <mergeCell ref="B23:C23"/>
    <mergeCell ref="E23:F23"/>
    <mergeCell ref="B24:C24"/>
    <mergeCell ref="E24:F24"/>
    <mergeCell ref="B25:E25"/>
    <mergeCell ref="B31:E31"/>
  </mergeCells>
  <printOptions horizontalCentered="1"/>
  <pageMargins left="0.708661417322835" right="0.354330708661417" top="0.551181102362205" bottom="0.551181102362205" header="0.31496062992126" footer="0.31496062992126"/>
  <pageSetup paperSize="9" scale="72" orientation="landscape"/>
  <headerFooter>
    <oddHeader>&amp;R21-10-2022</oddHeader>
    <oddFooter>&amp;L&amp;Z&amp;F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I10"/>
  <sheetViews>
    <sheetView workbookViewId="0">
      <selection activeCell="F12" sqref="F12"/>
    </sheetView>
  </sheetViews>
  <sheetFormatPr defaultColWidth="9.14285714285714" defaultRowHeight="15"/>
  <cols>
    <col min="4" max="4" width="13.1428571428571" customWidth="1"/>
    <col min="5" max="5" width="23.5714285714286" customWidth="1"/>
    <col min="6" max="6" width="16.5714285714286" customWidth="1"/>
    <col min="7" max="7" width="12.8571428571429" customWidth="1"/>
    <col min="8" max="8" width="21.1428571428571" customWidth="1"/>
    <col min="9" max="9" width="23.1428571428571" customWidth="1"/>
  </cols>
  <sheetData>
    <row r="1" customHeight="1"/>
    <row r="3" customHeight="1"/>
    <row r="6" spans="4:9">
      <c r="D6" s="1" t="s">
        <v>73</v>
      </c>
      <c r="E6" s="2" t="s">
        <v>74</v>
      </c>
      <c r="F6" s="3" t="s">
        <v>75</v>
      </c>
      <c r="G6" s="4" t="s">
        <v>76</v>
      </c>
      <c r="H6" s="3" t="s">
        <v>77</v>
      </c>
      <c r="I6" s="5" t="s">
        <v>78</v>
      </c>
    </row>
    <row r="7" ht="17" customHeight="1" spans="4:9">
      <c r="D7" s="6"/>
      <c r="E7" s="7"/>
      <c r="F7" s="8"/>
      <c r="G7" s="9"/>
      <c r="H7" s="8"/>
      <c r="I7" s="10"/>
    </row>
    <row r="8" ht="15.75" spans="4:9">
      <c r="D8" s="11" t="s">
        <v>79</v>
      </c>
      <c r="E8" s="12" t="s">
        <v>24</v>
      </c>
      <c r="F8" s="13">
        <v>1015.79</v>
      </c>
      <c r="G8" s="13">
        <v>45</v>
      </c>
      <c r="H8" s="14" t="s">
        <v>80</v>
      </c>
      <c r="I8" s="14" t="s">
        <v>81</v>
      </c>
    </row>
    <row r="9" ht="23" customHeight="1" spans="4:9">
      <c r="D9" s="11" t="s">
        <v>28</v>
      </c>
      <c r="E9" s="12" t="s">
        <v>27</v>
      </c>
      <c r="F9" s="13">
        <v>610.69</v>
      </c>
      <c r="G9" s="13">
        <v>45</v>
      </c>
      <c r="H9" s="14" t="s">
        <v>80</v>
      </c>
      <c r="I9" s="14" t="s">
        <v>81</v>
      </c>
    </row>
    <row r="10" ht="15.75" spans="4:9">
      <c r="D10" s="11" t="s">
        <v>30</v>
      </c>
      <c r="E10" s="12" t="s">
        <v>29</v>
      </c>
      <c r="F10" s="13">
        <v>61.8</v>
      </c>
      <c r="G10" s="13">
        <v>8</v>
      </c>
      <c r="H10" s="14" t="s">
        <v>82</v>
      </c>
      <c r="I10" s="14" t="s">
        <v>83</v>
      </c>
    </row>
  </sheetData>
  <mergeCells count="6">
    <mergeCell ref="D6:D7"/>
    <mergeCell ref="E6:E7"/>
    <mergeCell ref="F6:F7"/>
    <mergeCell ref="G6:G7"/>
    <mergeCell ref="H6:H7"/>
    <mergeCell ref="I6:I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 Company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AR11138</vt:lpstr>
      <vt:lpstr>AR011140</vt:lpstr>
      <vt:lpstr>AR011142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102065</dc:creator>
  <cp:lastModifiedBy>YRR</cp:lastModifiedBy>
  <dcterms:created xsi:type="dcterms:W3CDTF">2024-01-01T10:18:00Z</dcterms:created>
  <cp:lastPrinted>2026-04-11T09:19:00Z</cp:lastPrinted>
  <dcterms:modified xsi:type="dcterms:W3CDTF">2026-04-22T09:13:26Z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E00984586B92431D9642F44E518B4637_12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