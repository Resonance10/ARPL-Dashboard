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09_Costing\01_Product-Costing\NPD\ABHINAVA RIZEL\sent to customer\"/>
    </mc:Choice>
  </mc:AlternateContent>
  <xr:revisionPtr revIDLastSave="0" documentId="13_ncr:1_{E50C08CC-FA6C-4D5B-ABD4-03294A7CDB4E}" xr6:coauthVersionLast="47" xr6:coauthVersionMax="47" xr10:uidLastSave="{00000000-0000-0000-0000-000000000000}"/>
  <bookViews>
    <workbookView xWindow="-120" yWindow="-120" windowWidth="20730" windowHeight="11160" xr2:uid="{EC9E898E-0A60-4A69-8731-95F5796A31EC}"/>
  </bookViews>
  <sheets>
    <sheet name="Quotation" sheetId="3" r:id="rId1"/>
    <sheet name="ProductCosting" sheetId="1" r:id="rId2"/>
    <sheet name="LookupData" sheetId="2" state="hidden" r:id="rId3"/>
  </sheets>
  <definedNames>
    <definedName name="_xlnm.Print_Area" localSheetId="0">Quotation!$A:$L</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I5" i="2"/>
  <c r="I4" i="2"/>
  <c r="E4" i="2"/>
  <c r="I3" i="2"/>
  <c r="E3" i="2"/>
  <c r="I2" i="2"/>
  <c r="E2" i="2"/>
  <c r="E4" i="1"/>
  <c r="H4" i="1" s="1"/>
  <c r="L2" i="1"/>
  <c r="K2" i="1"/>
  <c r="J2" i="1"/>
  <c r="F4" i="1" l="1"/>
  <c r="I4" i="1" s="1"/>
  <c r="J4" i="1" l="1"/>
  <c r="K4" i="1"/>
  <c r="L4" i="1"/>
  <c r="M4" i="1"/>
  <c r="N4" i="1"/>
  <c r="O4" i="1"/>
  <c r="P4" i="1"/>
</calcChain>
</file>

<file path=xl/sharedStrings.xml><?xml version="1.0" encoding="utf-8"?>
<sst xmlns="http://schemas.openxmlformats.org/spreadsheetml/2006/main" count="90" uniqueCount="81">
  <si>
    <t>PRODUCT COSTING</t>
  </si>
  <si>
    <t>Warranty Buyer's Scope</t>
  </si>
  <si>
    <t>Payment terms 15days from delivery</t>
  </si>
  <si>
    <t>Delivered at Place within Chennai</t>
  </si>
  <si>
    <t>Item Code</t>
  </si>
  <si>
    <t>Costing Flag</t>
  </si>
  <si>
    <t>Item Name</t>
  </si>
  <si>
    <t>Basic Cost</t>
  </si>
  <si>
    <t>Total Landed Cost</t>
  </si>
  <si>
    <t>Rejection Allowance</t>
  </si>
  <si>
    <t>Mfg Value Additions</t>
  </si>
  <si>
    <t>Mfg Overhead</t>
  </si>
  <si>
    <t>Subtotal 1</t>
  </si>
  <si>
    <t>Warranty Terms Cost</t>
  </si>
  <si>
    <t>Payment Terms Cost</t>
  </si>
  <si>
    <t>Freight Out Terms Cost</t>
  </si>
  <si>
    <t>Subtotal 2</t>
  </si>
  <si>
    <t>SG&amp;A Cost</t>
  </si>
  <si>
    <t>Profit</t>
  </si>
  <si>
    <t>Sale Price</t>
  </si>
  <si>
    <t>ITEM-500000</t>
  </si>
  <si>
    <t>ALTERNATOR WINDING CL75MM</t>
  </si>
  <si>
    <t>Part Type</t>
  </si>
  <si>
    <t>Warranty Terms</t>
  </si>
  <si>
    <t>Warranty Months</t>
  </si>
  <si>
    <t>Add</t>
  </si>
  <si>
    <t>Payment Terms</t>
  </si>
  <si>
    <t>Avg Days of Payment Cycle</t>
  </si>
  <si>
    <t>Frieght Out Terms</t>
  </si>
  <si>
    <t>Product</t>
  </si>
  <si>
    <t>100% before delivery</t>
  </si>
  <si>
    <t>Ex-Works</t>
  </si>
  <si>
    <t>Mfg Parts</t>
  </si>
  <si>
    <t>12-month limited warranty from our invoice date</t>
  </si>
  <si>
    <t>Payment terms 7days from delivery</t>
  </si>
  <si>
    <t>Part</t>
  </si>
  <si>
    <t>18-month limited warranty from our invoice date</t>
  </si>
  <si>
    <t>Delivered at Place to Designated Locations Across India</t>
  </si>
  <si>
    <t>Tier2</t>
  </si>
  <si>
    <t>BDS, Payment terms 30days from delivery</t>
  </si>
  <si>
    <t>Z</t>
  </si>
  <si>
    <t>BDS, Payment terms 45days from delivery</t>
  </si>
  <si>
    <t>SALES QUOTATION</t>
  </si>
  <si>
    <t>1.</t>
  </si>
  <si>
    <t>General Information</t>
  </si>
  <si>
    <t>1.1.</t>
  </si>
  <si>
    <t>Customer Name</t>
  </si>
  <si>
    <t xml:space="preserve">M/S ABHINAVA RIZEL </t>
  </si>
  <si>
    <t>1.2.</t>
  </si>
  <si>
    <t>Contact Person</t>
  </si>
  <si>
    <t>Mr. Yuvaraj</t>
  </si>
  <si>
    <t>1.3.</t>
  </si>
  <si>
    <t>Quotation Date</t>
  </si>
  <si>
    <t>1.4.</t>
  </si>
  <si>
    <t>Offer Validity</t>
  </si>
  <si>
    <t>30 DAYS</t>
  </si>
  <si>
    <t>2.</t>
  </si>
  <si>
    <t>Quotation</t>
  </si>
  <si>
    <t>Product Code</t>
  </si>
  <si>
    <t>Product Name</t>
  </si>
  <si>
    <t>Customer Code</t>
  </si>
  <si>
    <t>Estimated Annual Demand (pcs)</t>
  </si>
  <si>
    <t>Price per Product (Rs)</t>
  </si>
  <si>
    <t>Conditions</t>
  </si>
  <si>
    <t>2.1</t>
  </si>
  <si>
    <t>Incoterms</t>
  </si>
  <si>
    <t>Delivery at Chennai</t>
  </si>
  <si>
    <t>2.2</t>
  </si>
  <si>
    <t>Currency</t>
  </si>
  <si>
    <t>INR</t>
  </si>
  <si>
    <t>2.3</t>
  </si>
  <si>
    <t>Payment terms</t>
  </si>
  <si>
    <t>15days from delivery</t>
  </si>
  <si>
    <t>2.4</t>
  </si>
  <si>
    <t>Lead time</t>
  </si>
  <si>
    <t xml:space="preserve">Development Lead Time - 14 weeks from the date of acknowledgment of receipt of the advance payment. </t>
  </si>
  <si>
    <t>2.5</t>
  </si>
  <si>
    <t>Additional Costs</t>
  </si>
  <si>
    <t>Any costs related to product development, tooling, or customer-specific requirements will be charged separately. These charges will be communicated and agreed upon before implementation.
The payment terms are as follows: A 50% advance payment is required upon confirmation of the proposal and receipt of the Purchase Order (PO). This advance payment is non-refundable and ensures the commitment to the project. The remaining 50% will be due upon completion of the proposal and delivery of the final product, with payment to be made within 15 days of completion.</t>
  </si>
  <si>
    <t>5.</t>
  </si>
  <si>
    <t>Quotation / Sales Terms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</si>
</sst>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_-* #,##0\ _k_r_._-;\-* #,##0\ _k_r_._-;_-* &quot;-&quot;??\ _k_r_._-;_-@"/>
  </numFmts>
  <fonts count="16"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Aptos Narrow"/>
      <family val="2"/>
    </font>
    <font>
      <sz val="12"/>
      <color theme="1"/>
      <name val="Aptos Narrow"/>
      <family val="2"/>
    </font>
    <font>
      <sz val="11"/>
      <color rgb="FF000000"/>
      <name val="Calibri"/>
      <family val="2"/>
      <charset val="1"/>
    </font>
    <font>
      <sz val="12"/>
      <color rgb="FF000000"/>
      <name val="Aptos Narrow"/>
      <family val="2"/>
    </font>
    <font>
      <b/>
      <sz val="20"/>
      <color rgb="FFFF0000"/>
      <name val="Calibri"/>
      <family val="2"/>
      <scheme val="minor"/>
    </font>
    <font>
      <sz val="10"/>
      <color rgb="FFFF0000"/>
      <name val="Calibri"/>
      <family val="2"/>
      <scheme val="minor"/>
    </font>
    <font>
      <b/>
      <sz val="13"/>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0"/>
      <color theme="0"/>
      <name val="Calibri"/>
      <family val="2"/>
      <scheme val="minor"/>
    </font>
    <font>
      <b/>
      <sz val="10"/>
      <color rgb="FFFFFFFF"/>
      <name val="Calibri"/>
      <family val="2"/>
      <scheme val="minor"/>
    </font>
  </fonts>
  <fills count="8">
    <fill>
      <patternFill patternType="none"/>
    </fill>
    <fill>
      <patternFill patternType="gray125"/>
    </fill>
    <fill>
      <patternFill patternType="solid">
        <fgColor rgb="FFFFC000"/>
        <bgColor indexed="64"/>
      </patternFill>
    </fill>
    <fill>
      <patternFill patternType="solid">
        <fgColor theme="7" tint="0.59999389629810485"/>
        <bgColor indexed="64"/>
      </patternFill>
    </fill>
    <fill>
      <patternFill patternType="solid">
        <fgColor rgb="FF00B0F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5" fillId="0" borderId="0"/>
    <xf numFmtId="9" fontId="1" fillId="0" borderId="0" applyFont="0" applyFill="0" applyBorder="0" applyAlignment="0" applyProtection="0"/>
    <xf numFmtId="0" fontId="2" fillId="0" borderId="0"/>
    <xf numFmtId="43" fontId="2" fillId="0" borderId="0" applyFont="0" applyFill="0" applyBorder="0" applyAlignment="0" applyProtection="0"/>
  </cellStyleXfs>
  <cellXfs count="76">
    <xf numFmtId="0" fontId="0" fillId="0" borderId="0" xfId="0"/>
    <xf numFmtId="0" fontId="3" fillId="0" borderId="0" xfId="3" applyFont="1" applyAlignment="1">
      <alignment vertical="top" wrapText="1"/>
    </xf>
    <xf numFmtId="10" fontId="3" fillId="0" borderId="0" xfId="2" applyNumberFormat="1" applyFont="1" applyAlignment="1">
      <alignment vertical="top" wrapText="1"/>
    </xf>
    <xf numFmtId="0" fontId="3" fillId="2" borderId="0" xfId="3" applyFont="1" applyFill="1" applyAlignment="1">
      <alignment vertical="top" wrapText="1"/>
    </xf>
    <xf numFmtId="0" fontId="4" fillId="0" borderId="0" xfId="3" applyFont="1" applyAlignment="1">
      <alignment vertical="top"/>
    </xf>
    <xf numFmtId="10" fontId="4" fillId="0" borderId="0" xfId="2" applyNumberFormat="1" applyFont="1" applyAlignment="1">
      <alignment vertical="top"/>
    </xf>
    <xf numFmtId="10" fontId="4" fillId="3" borderId="0" xfId="3" applyNumberFormat="1" applyFont="1" applyFill="1" applyAlignment="1">
      <alignment vertical="top"/>
    </xf>
    <xf numFmtId="0" fontId="4" fillId="0" borderId="0" xfId="3" applyFont="1" applyAlignment="1">
      <alignment vertical="top" wrapText="1"/>
    </xf>
    <xf numFmtId="43" fontId="4" fillId="0" borderId="0" xfId="3" applyNumberFormat="1" applyFont="1" applyAlignment="1">
      <alignment vertical="top"/>
    </xf>
    <xf numFmtId="0" fontId="3" fillId="2" borderId="0" xfId="4" applyFont="1" applyFill="1" applyAlignment="1">
      <alignment vertical="top"/>
    </xf>
    <xf numFmtId="0" fontId="3" fillId="0" borderId="0" xfId="5" applyFont="1" applyAlignment="1">
      <alignment vertical="top" wrapText="1"/>
    </xf>
    <xf numFmtId="0" fontId="3" fillId="2" borderId="0" xfId="5" applyFont="1" applyFill="1" applyAlignment="1">
      <alignment vertical="top" wrapText="1"/>
    </xf>
    <xf numFmtId="10" fontId="3" fillId="2" borderId="0" xfId="6" applyNumberFormat="1" applyFont="1" applyFill="1" applyAlignment="1">
      <alignment vertical="top" wrapText="1"/>
    </xf>
    <xf numFmtId="0" fontId="3" fillId="0" borderId="0" xfId="4" applyFont="1" applyAlignment="1">
      <alignment vertical="top"/>
    </xf>
    <xf numFmtId="0" fontId="4" fillId="0" borderId="0" xfId="4" applyFont="1" applyAlignment="1">
      <alignment vertical="top"/>
    </xf>
    <xf numFmtId="0" fontId="6" fillId="0" borderId="0" xfId="5" applyFont="1" applyAlignment="1">
      <alignment vertical="top"/>
    </xf>
    <xf numFmtId="10" fontId="4" fillId="0" borderId="0" xfId="6" applyNumberFormat="1" applyFont="1" applyAlignment="1">
      <alignment vertical="top"/>
    </xf>
    <xf numFmtId="0" fontId="8" fillId="0" borderId="2" xfId="7" applyFont="1" applyBorder="1" applyAlignment="1">
      <alignment vertical="top"/>
    </xf>
    <xf numFmtId="0" fontId="2" fillId="0" borderId="2" xfId="7" applyBorder="1" applyAlignment="1">
      <alignment vertical="top"/>
    </xf>
    <xf numFmtId="0" fontId="2" fillId="0" borderId="3" xfId="7" applyBorder="1" applyAlignment="1">
      <alignment vertical="top"/>
    </xf>
    <xf numFmtId="0" fontId="2" fillId="0" borderId="0" xfId="7" applyAlignment="1">
      <alignment vertical="top"/>
    </xf>
    <xf numFmtId="0" fontId="8" fillId="0" borderId="0" xfId="7" applyFont="1" applyAlignment="1">
      <alignment vertical="top"/>
    </xf>
    <xf numFmtId="0" fontId="2" fillId="0" borderId="5" xfId="7" applyBorder="1" applyAlignment="1">
      <alignment vertical="top"/>
    </xf>
    <xf numFmtId="0" fontId="2" fillId="0" borderId="4" xfId="7" applyBorder="1" applyAlignment="1">
      <alignment vertical="top"/>
    </xf>
    <xf numFmtId="0" fontId="9" fillId="0" borderId="4" xfId="7" applyFont="1" applyBorder="1" applyAlignment="1">
      <alignment vertical="top"/>
    </xf>
    <xf numFmtId="0" fontId="9" fillId="0" borderId="0" xfId="7" applyFont="1" applyAlignment="1">
      <alignment horizontal="left" vertical="top"/>
    </xf>
    <xf numFmtId="0" fontId="10" fillId="0" borderId="0" xfId="7" applyFont="1" applyAlignment="1">
      <alignment vertical="top"/>
    </xf>
    <xf numFmtId="0" fontId="11" fillId="0" borderId="4" xfId="7" applyFont="1" applyBorder="1" applyAlignment="1">
      <alignment vertical="top"/>
    </xf>
    <xf numFmtId="0" fontId="11" fillId="0" borderId="0" xfId="7" applyFont="1" applyAlignment="1">
      <alignment horizontal="left" vertical="top"/>
    </xf>
    <xf numFmtId="0" fontId="12" fillId="0" borderId="0" xfId="7" applyFont="1" applyAlignment="1">
      <alignment vertical="top"/>
    </xf>
    <xf numFmtId="0" fontId="12" fillId="0" borderId="5" xfId="7" applyFont="1" applyBorder="1" applyAlignment="1">
      <alignment vertical="top"/>
    </xf>
    <xf numFmtId="0" fontId="11" fillId="0" borderId="0" xfId="7" applyFont="1" applyAlignment="1">
      <alignment vertical="top"/>
    </xf>
    <xf numFmtId="0" fontId="2" fillId="0" borderId="0" xfId="7" applyAlignment="1">
      <alignment horizontal="center" vertical="top"/>
    </xf>
    <xf numFmtId="13" fontId="12" fillId="0" borderId="0" xfId="7" applyNumberFormat="1" applyFont="1" applyAlignment="1">
      <alignment vertical="top"/>
    </xf>
    <xf numFmtId="13" fontId="2" fillId="0" borderId="0" xfId="7" applyNumberFormat="1" applyAlignment="1">
      <alignment vertical="top"/>
    </xf>
    <xf numFmtId="0" fontId="2" fillId="6" borderId="6" xfId="7" applyFill="1" applyBorder="1" applyAlignment="1">
      <alignment vertical="top"/>
    </xf>
    <xf numFmtId="165" fontId="2" fillId="6" borderId="6" xfId="7" applyNumberFormat="1" applyFill="1" applyBorder="1" applyAlignment="1">
      <alignment vertical="top"/>
    </xf>
    <xf numFmtId="43" fontId="0" fillId="6" borderId="6" xfId="1" applyFont="1" applyFill="1" applyBorder="1" applyAlignment="1">
      <alignment horizontal="center" vertical="top"/>
    </xf>
    <xf numFmtId="2" fontId="0" fillId="6" borderId="6" xfId="8" applyNumberFormat="1" applyFont="1" applyFill="1" applyBorder="1" applyAlignment="1">
      <alignment horizontal="center" vertical="top"/>
    </xf>
    <xf numFmtId="165" fontId="2" fillId="0" borderId="0" xfId="7" applyNumberFormat="1" applyAlignment="1">
      <alignment vertical="top"/>
    </xf>
    <xf numFmtId="0" fontId="9" fillId="0" borderId="4" xfId="7" quotePrefix="1" applyFont="1" applyBorder="1" applyAlignment="1">
      <alignment vertical="top"/>
    </xf>
    <xf numFmtId="0" fontId="9" fillId="0" borderId="0" xfId="7" applyFont="1" applyAlignment="1">
      <alignment vertical="top"/>
    </xf>
    <xf numFmtId="0" fontId="12" fillId="0" borderId="4" xfId="7" applyFont="1" applyBorder="1" applyAlignment="1">
      <alignment vertical="top"/>
    </xf>
    <xf numFmtId="0" fontId="11" fillId="0" borderId="4" xfId="7" quotePrefix="1" applyFont="1" applyBorder="1" applyAlignment="1">
      <alignment vertical="top"/>
    </xf>
    <xf numFmtId="0" fontId="2" fillId="0" borderId="5" xfId="7" applyBorder="1" applyAlignment="1">
      <alignment vertical="top" wrapText="1"/>
    </xf>
    <xf numFmtId="0" fontId="11" fillId="0" borderId="4" xfId="7" quotePrefix="1" applyFont="1" applyBorder="1" applyAlignment="1">
      <alignment vertical="top" wrapText="1"/>
    </xf>
    <xf numFmtId="0" fontId="11" fillId="0" borderId="0" xfId="7" applyFont="1" applyAlignment="1">
      <alignment vertical="top" wrapText="1"/>
    </xf>
    <xf numFmtId="0" fontId="2" fillId="0" borderId="0" xfId="7" applyAlignment="1">
      <alignment vertical="top" wrapText="1"/>
    </xf>
    <xf numFmtId="0" fontId="2" fillId="0" borderId="9" xfId="7" applyBorder="1" applyAlignment="1">
      <alignment vertical="top"/>
    </xf>
    <xf numFmtId="0" fontId="2" fillId="0" borderId="10" xfId="7" applyBorder="1" applyAlignment="1">
      <alignment vertical="top"/>
    </xf>
    <xf numFmtId="0" fontId="2" fillId="0" borderId="11" xfId="7" applyBorder="1" applyAlignment="1">
      <alignment vertical="top"/>
    </xf>
    <xf numFmtId="0" fontId="3" fillId="2" borderId="0" xfId="3" applyFont="1" applyFill="1" applyAlignment="1">
      <alignment horizontal="center" vertical="top" wrapText="1"/>
    </xf>
    <xf numFmtId="0" fontId="3" fillId="4" borderId="0" xfId="3" applyFont="1" applyFill="1" applyAlignment="1">
      <alignment horizontal="center" vertical="top" wrapText="1"/>
    </xf>
    <xf numFmtId="0" fontId="3" fillId="5" borderId="0" xfId="3" applyFont="1" applyFill="1" applyAlignment="1">
      <alignment horizontal="center" vertical="top" wrapText="1"/>
    </xf>
    <xf numFmtId="10" fontId="3" fillId="4" borderId="0" xfId="2" applyNumberFormat="1" applyFont="1" applyFill="1" applyAlignment="1">
      <alignment horizontal="center" vertical="top" wrapText="1"/>
    </xf>
    <xf numFmtId="0" fontId="3" fillId="0" borderId="0" xfId="3" applyFont="1" applyAlignment="1">
      <alignment horizontal="center" vertical="top" wrapText="1"/>
    </xf>
    <xf numFmtId="0" fontId="2" fillId="0" borderId="6" xfId="7" applyBorder="1" applyAlignment="1">
      <alignment horizontal="left" vertical="top" wrapText="1"/>
    </xf>
    <xf numFmtId="0" fontId="2" fillId="6" borderId="6" xfId="7" applyFill="1" applyBorder="1" applyAlignment="1">
      <alignment vertical="top"/>
    </xf>
    <xf numFmtId="0" fontId="2" fillId="0" borderId="0" xfId="7" applyAlignment="1">
      <alignment vertical="top"/>
    </xf>
    <xf numFmtId="0" fontId="2" fillId="6" borderId="6" xfId="7" applyFill="1" applyBorder="1" applyAlignment="1">
      <alignment horizontal="left" vertical="top"/>
    </xf>
    <xf numFmtId="0" fontId="2" fillId="6" borderId="6" xfId="7" applyFill="1" applyBorder="1" applyAlignment="1">
      <alignment horizontal="center" vertical="top"/>
    </xf>
    <xf numFmtId="0" fontId="14" fillId="7" borderId="6" xfId="7" applyFont="1" applyFill="1" applyBorder="1" applyAlignment="1">
      <alignment horizontal="center" vertical="top" wrapText="1"/>
    </xf>
    <xf numFmtId="0" fontId="10" fillId="7" borderId="6" xfId="7" applyFont="1" applyFill="1" applyBorder="1" applyAlignment="1">
      <alignment vertical="top"/>
    </xf>
    <xf numFmtId="0" fontId="15" fillId="7" borderId="6" xfId="7" applyFont="1" applyFill="1" applyBorder="1" applyAlignment="1">
      <alignment horizontal="center" vertical="top"/>
    </xf>
    <xf numFmtId="0" fontId="15" fillId="7" borderId="7" xfId="7" applyFont="1" applyFill="1" applyBorder="1" applyAlignment="1">
      <alignment horizontal="center" vertical="top" wrapText="1"/>
    </xf>
    <xf numFmtId="0" fontId="15" fillId="7" borderId="8" xfId="7" applyFont="1" applyFill="1" applyBorder="1" applyAlignment="1">
      <alignment horizontal="center" vertical="top" wrapText="1"/>
    </xf>
    <xf numFmtId="0" fontId="14" fillId="7" borderId="7" xfId="7" applyFont="1" applyFill="1" applyBorder="1" applyAlignment="1">
      <alignment horizontal="center" vertical="top" wrapText="1"/>
    </xf>
    <xf numFmtId="0" fontId="14" fillId="7" borderId="8" xfId="7" applyFont="1" applyFill="1" applyBorder="1" applyAlignment="1">
      <alignment horizontal="center" vertical="top" wrapText="1"/>
    </xf>
    <xf numFmtId="0" fontId="7" fillId="0" borderId="1" xfId="7" applyFont="1" applyBorder="1" applyAlignment="1">
      <alignment horizontal="left" vertical="top"/>
    </xf>
    <xf numFmtId="0" fontId="7" fillId="0" borderId="2" xfId="7" applyFont="1" applyBorder="1" applyAlignment="1">
      <alignment horizontal="left" vertical="top"/>
    </xf>
    <xf numFmtId="0" fontId="7" fillId="0" borderId="4" xfId="7" applyFont="1" applyBorder="1" applyAlignment="1">
      <alignment horizontal="left" vertical="top"/>
    </xf>
    <xf numFmtId="0" fontId="7" fillId="0" borderId="0" xfId="7" applyFont="1" applyAlignment="1">
      <alignment horizontal="left" vertical="top"/>
    </xf>
    <xf numFmtId="0" fontId="9" fillId="0" borderId="0" xfId="7" applyFont="1" applyAlignment="1">
      <alignment horizontal="left" vertical="top"/>
    </xf>
    <xf numFmtId="0" fontId="10" fillId="0" borderId="0" xfId="7" applyFont="1" applyAlignment="1">
      <alignment vertical="top"/>
    </xf>
    <xf numFmtId="0" fontId="13" fillId="6" borderId="6" xfId="7" applyFont="1" applyFill="1" applyBorder="1" applyAlignment="1">
      <alignment horizontal="left" vertical="top"/>
    </xf>
    <xf numFmtId="164" fontId="2" fillId="6" borderId="6" xfId="7" applyNumberFormat="1" applyFill="1" applyBorder="1" applyAlignment="1">
      <alignment horizontal="left" vertical="top"/>
    </xf>
  </cellXfs>
  <cellStyles count="9">
    <cellStyle name="Comma" xfId="1" builtinId="3"/>
    <cellStyle name="Comma 3 2" xfId="8" xr:uid="{078C4BC5-8EE1-41C1-B5C1-A52890B0B96A}"/>
    <cellStyle name="Normal" xfId="0" builtinId="0"/>
    <cellStyle name="Normal 2 2" xfId="5" xr:uid="{2D7190A3-55A4-4E3E-A2B2-C6D5EB29F084}"/>
    <cellStyle name="Normal 3 2 2" xfId="7" xr:uid="{9507A96A-A822-4F74-8DBD-FF45CDA9BF63}"/>
    <cellStyle name="Normal 3 3" xfId="4" xr:uid="{56D74FE4-DA02-4153-8C29-3609B24344B2}"/>
    <cellStyle name="Normal 4" xfId="3" xr:uid="{874DC706-4E86-4FC9-A941-EDF357EB3D6D}"/>
    <cellStyle name="Percent" xfId="2" builtinId="5"/>
    <cellStyle name="Percent 2" xfId="6" xr:uid="{1D0EA157-29D8-4A0A-86C3-28CA8E5AE2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1993900" cy="1701800"/>
    <xdr:pic>
      <xdr:nvPicPr>
        <xdr:cNvPr id="2" name="Picture 1">
          <a:extLst>
            <a:ext uri="{FF2B5EF4-FFF2-40B4-BE49-F238E27FC236}">
              <a16:creationId xmlns:a16="http://schemas.microsoft.com/office/drawing/2014/main" id="{BF3F4828-7B7F-4374-8D6E-EDC0CE27F87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486" t="6482" r="26688" b="21133"/>
        <a:stretch/>
      </xdr:blipFill>
      <xdr:spPr>
        <a:xfrm>
          <a:off x="7867650" y="200025"/>
          <a:ext cx="1993900" cy="1701800"/>
        </a:xfrm>
        <a:prstGeom prst="rect">
          <a:avLst/>
        </a:prstGeom>
        <a:ln>
          <a:noFill/>
        </a:ln>
        <a:effectLst>
          <a:outerShdw blurRad="190500" algn="tl" rotWithShape="0">
            <a:srgbClr val="000000">
              <a:alpha val="70000"/>
            </a:srgbClr>
          </a:outerShdw>
        </a:effectLst>
      </xdr:spPr>
    </xdr:pic>
    <xdr:clientData/>
  </xdr:oneCellAnchor>
  <xdr:oneCellAnchor>
    <xdr:from>
      <xdr:col>1</xdr:col>
      <xdr:colOff>0</xdr:colOff>
      <xdr:row>32</xdr:row>
      <xdr:rowOff>0</xdr:rowOff>
    </xdr:from>
    <xdr:ext cx="10152000" cy="9994900"/>
    <xdr:sp macro="" textlink="">
      <xdr:nvSpPr>
        <xdr:cNvPr id="3" name="TextBox 2">
          <a:extLst>
            <a:ext uri="{FF2B5EF4-FFF2-40B4-BE49-F238E27FC236}">
              <a16:creationId xmlns:a16="http://schemas.microsoft.com/office/drawing/2014/main" id="{B632FE5A-23BC-4911-8C37-8F9B911E8C95}"/>
            </a:ext>
          </a:extLst>
        </xdr:cNvPr>
        <xdr:cNvSpPr txBox="1"/>
      </xdr:nvSpPr>
      <xdr:spPr>
        <a:xfrm>
          <a:off x="495300" y="7943850"/>
          <a:ext cx="10152000" cy="9994900"/>
        </a:xfrm>
        <a:prstGeom prst="rect">
          <a:avLst/>
        </a:prstGeom>
        <a:solidFill>
          <a:schemeClr val="bg1">
            <a:lumMod val="95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Seller and Buyer Definitions</a:t>
          </a:r>
          <a:r>
            <a:rPr lang="en-US" sz="1000"/>
            <a:t>:</a:t>
          </a:r>
          <a:br>
            <a:rPr lang="en-US" sz="1000"/>
          </a:br>
          <a:r>
            <a:rPr lang="en-US" sz="1000"/>
            <a:t>Seller: RAMDEVS</a:t>
          </a:r>
          <a:r>
            <a:rPr lang="en-US" sz="1000" baseline="0"/>
            <a:t> MOTORS.</a:t>
          </a:r>
        </a:p>
        <a:p>
          <a:r>
            <a:rPr lang="en-US" sz="1000"/>
            <a:t>Buyer: The individual/entity purchasing goods or services.</a:t>
          </a:r>
          <a:r>
            <a:rPr lang="en-US" sz="1000" baseline="0"/>
            <a:t> </a:t>
          </a:r>
        </a:p>
        <a:p>
          <a:r>
            <a:rPr lang="en-US" sz="1000"/>
            <a:t>Products: Items or services offered by Seller.</a:t>
          </a:r>
          <a:r>
            <a:rPr lang="en-US" sz="1000" baseline="0"/>
            <a:t> </a:t>
          </a:r>
        </a:p>
        <a:p>
          <a:r>
            <a:rPr lang="en-US" sz="1000"/>
            <a:t>Contract: Agreement for Products.</a:t>
          </a:r>
        </a:p>
        <a:p>
          <a:br>
            <a:rPr lang="en-US" sz="1000" b="1"/>
          </a:br>
          <a:r>
            <a:rPr lang="en-US" sz="1000" b="1"/>
            <a:t>Pricing</a:t>
          </a:r>
          <a:r>
            <a:rPr lang="en-US" sz="1000"/>
            <a:t>:</a:t>
          </a:r>
          <a:r>
            <a:rPr lang="en-US" sz="1000" baseline="0"/>
            <a:t> </a:t>
          </a:r>
          <a:r>
            <a:rPr lang="en-US" sz="1000"/>
            <a:t>Quotations are valid for 30 days unless stated otherwise. Prices exclude taxes, duties, shipping, and insurance unless otherwise noted. Prices may adjust for cost changes.</a:t>
          </a:r>
          <a:r>
            <a:rPr lang="en-US" sz="1000" baseline="0"/>
            <a:t> </a:t>
          </a:r>
          <a:r>
            <a:rPr lang="en-US" sz="1000" i="1"/>
            <a:t>Price Escalation</a:t>
          </a:r>
          <a:r>
            <a:rPr lang="en-US" sz="1000"/>
            <a:t>: The Seller reserves the right to adjust prices due to significant increases in raw materials, labor, or manufacturing costs, as well as fluctuations in currency exchange rates. Such changes will be communicated with supporting documentation.</a:t>
          </a:r>
          <a:r>
            <a:rPr lang="en-US" sz="1000" baseline="0"/>
            <a:t> </a:t>
          </a:r>
          <a:r>
            <a:rPr lang="en-US" sz="1000" i="1"/>
            <a:t>Additional Costs</a:t>
          </a:r>
          <a:r>
            <a:rPr lang="en-US" sz="1000"/>
            <a:t>: Any costs related to product development, tooling, or customer-specific requirements will be charged separately. These charges will be communicated and agreed upon before implementation.</a:t>
          </a:r>
          <a:br>
            <a:rPr lang="en-US" sz="1000"/>
          </a:br>
          <a:br>
            <a:rPr lang="en-US" sz="1000" b="1"/>
          </a:br>
          <a:r>
            <a:rPr lang="en-US" sz="1000" b="1"/>
            <a:t>Orders &amp; Acceptance</a:t>
          </a:r>
          <a:r>
            <a:rPr lang="en-US" sz="1000"/>
            <a:t>:</a:t>
          </a:r>
          <a:r>
            <a:rPr lang="en-US" sz="1000" baseline="0"/>
            <a:t> </a:t>
          </a:r>
          <a:r>
            <a:rPr lang="en-US" sz="1000"/>
            <a:t>Orders are subject to written acceptance. Orders must specify quantities, descriptions, and instructions. Orders become binding once confirmed. Custom orders require specifications approval.</a:t>
          </a:r>
        </a:p>
        <a:p>
          <a:br>
            <a:rPr lang="en-US" sz="1000" b="1"/>
          </a:br>
          <a:r>
            <a:rPr lang="en-US" sz="1000" b="1"/>
            <a:t>Delivery Terms</a:t>
          </a:r>
          <a:r>
            <a:rPr lang="en-US" sz="1000"/>
            <a:t>:</a:t>
          </a:r>
          <a:r>
            <a:rPr lang="en-US" sz="1000" baseline="0"/>
            <a:t> </a:t>
          </a:r>
          <a:r>
            <a:rPr lang="en-US" sz="1000"/>
            <a:t>Unless otherwise stated, delivery terms are Ex-Works.</a:t>
          </a:r>
          <a:r>
            <a:rPr lang="en-US" sz="1000" baseline="0"/>
            <a:t> </a:t>
          </a:r>
          <a:r>
            <a:rPr lang="en-US" sz="1000" i="1"/>
            <a:t>Timeline</a:t>
          </a:r>
          <a:r>
            <a:rPr lang="en-US" sz="1000"/>
            <a:t>: Delivery dates provided are estimates.</a:t>
          </a:r>
          <a:r>
            <a:rPr lang="en-US" sz="1000" baseline="0"/>
            <a:t> </a:t>
          </a:r>
          <a:r>
            <a:rPr lang="en-US" sz="1000" i="1"/>
            <a:t>Inspection</a:t>
          </a:r>
          <a:r>
            <a:rPr lang="en-US" sz="1000"/>
            <a:t>: Buyer must provide 5 days’ notice for inspection. Failure to inspect results in deemed acceptance.</a:t>
          </a:r>
          <a:r>
            <a:rPr lang="en-US" sz="1000" baseline="0"/>
            <a:t> </a:t>
          </a:r>
          <a:r>
            <a:rPr lang="en-US" sz="1000" i="1"/>
            <a:t>Packaging</a:t>
          </a:r>
          <a:r>
            <a:rPr lang="en-US" sz="1000"/>
            <a:t>: Standard packaging is included; special packaging incurs an additional cost.</a:t>
          </a:r>
          <a:r>
            <a:rPr lang="en-US" sz="1000" baseline="0"/>
            <a:t> </a:t>
          </a:r>
          <a:r>
            <a:rPr lang="en-US" sz="1000" i="1"/>
            <a:t>Risk</a:t>
          </a:r>
          <a:r>
            <a:rPr lang="en-US" sz="1000"/>
            <a:t>: Risk transfers to Buyer upon handover to the carrier.</a:t>
          </a:r>
        </a:p>
        <a:p>
          <a:br>
            <a:rPr lang="en-US" sz="1000" b="1"/>
          </a:br>
          <a:r>
            <a:rPr lang="en-US" sz="1000" b="1"/>
            <a:t>Changes</a:t>
          </a:r>
          <a:r>
            <a:rPr lang="en-US" sz="1000"/>
            <a:t>:</a:t>
          </a:r>
          <a:r>
            <a:rPr lang="en-US" sz="1000" baseline="0"/>
            <a:t> </a:t>
          </a:r>
          <a:r>
            <a:rPr lang="en-US" sz="1000"/>
            <a:t>In the event of any alterations to our terms, specifications, or Bill of Materials (BOM), product prices may be subject to adjustment.</a:t>
          </a:r>
        </a:p>
        <a:p>
          <a:br>
            <a:rPr lang="en-US" sz="1000" b="1"/>
          </a:br>
          <a:r>
            <a:rPr lang="en-US" sz="1000" b="1"/>
            <a:t>Cancellation</a:t>
          </a:r>
          <a:r>
            <a:rPr lang="en-US" sz="1000"/>
            <a:t>:</a:t>
          </a:r>
          <a:r>
            <a:rPr lang="en-US" sz="1000" baseline="0"/>
            <a:t> </a:t>
          </a:r>
          <a:r>
            <a:rPr lang="en-US" sz="1000"/>
            <a:t>Cancellation requests must be in writing. Fees may apply for custom or in-progress orders.</a:t>
          </a:r>
        </a:p>
        <a:p>
          <a:br>
            <a:rPr lang="en-US" sz="1000" b="1"/>
          </a:br>
          <a:r>
            <a:rPr lang="en-US" sz="1000" b="1"/>
            <a:t>Payment Terms</a:t>
          </a:r>
          <a:r>
            <a:rPr lang="en-US" sz="1000"/>
            <a:t>:</a:t>
          </a:r>
          <a:r>
            <a:rPr lang="en-US" sz="1000" baseline="0"/>
            <a:t> </a:t>
          </a:r>
          <a:r>
            <a:rPr lang="en-US" sz="1000"/>
            <a:t>Payment terms are indicated on the invoice. Acceptable methods include SWIFT, LC, etc. Late payments incur a 1.5% monthly interest charge. Payments will be made in the specified currency (e.g., INR, USD, EUR).</a:t>
          </a:r>
        </a:p>
        <a:p>
          <a:br>
            <a:rPr lang="en-US" sz="1000" b="1"/>
          </a:br>
          <a:r>
            <a:rPr lang="en-US" sz="1000" b="1"/>
            <a:t>Warranty</a:t>
          </a:r>
          <a:r>
            <a:rPr lang="en-US" sz="1000"/>
            <a:t>:</a:t>
          </a:r>
          <a:r>
            <a:rPr lang="en-US" sz="1000" baseline="0"/>
            <a:t> </a:t>
          </a:r>
          <a:r>
            <a:rPr lang="en-US" sz="1000"/>
            <a:t>The warranty excludes defects arising from misuse, wear and tear, or unauthorized repairs. No further warranty is applicable once the goods are dispatched.</a:t>
          </a:r>
        </a:p>
        <a:p>
          <a:br>
            <a:rPr lang="en-US" sz="1000" b="1"/>
          </a:br>
          <a:r>
            <a:rPr lang="en-US" sz="1000" b="1"/>
            <a:t>Taxes &amp; Duties</a:t>
          </a:r>
          <a:r>
            <a:rPr lang="en-US" sz="1000"/>
            <a:t>:</a:t>
          </a:r>
          <a:r>
            <a:rPr lang="en-US" sz="1000" baseline="0"/>
            <a:t> </a:t>
          </a:r>
          <a:r>
            <a:rPr lang="en-US" sz="1000"/>
            <a:t>Unless otherwise specified, taxes and duties are additional. The Buyer is responsible for paying all import duties, taxes, and ensuring compliance with import regulations.</a:t>
          </a:r>
        </a:p>
        <a:p>
          <a:br>
            <a:rPr lang="en-US" sz="1000" b="1"/>
          </a:br>
          <a:r>
            <a:rPr lang="en-US" sz="1000" b="1"/>
            <a:t>Force Majeure</a:t>
          </a:r>
          <a:r>
            <a:rPr lang="en-US" sz="1000"/>
            <a:t>:</a:t>
          </a:r>
          <a:r>
            <a:rPr lang="en-US" sz="1000" baseline="0"/>
            <a:t> </a:t>
          </a:r>
          <a:r>
            <a:rPr lang="en-US" sz="1000"/>
            <a:t>Seller will not be held liable for delays beyond its control, including but not limited to natural disasters, strikes, or other uncontrollable events. The Seller will notify the Buyer and make efforts to mitigate the delay.</a:t>
          </a:r>
        </a:p>
        <a:p>
          <a:br>
            <a:rPr lang="en-US" sz="1000" b="1"/>
          </a:br>
          <a:r>
            <a:rPr lang="en-US" sz="1000" b="1"/>
            <a:t>Liability</a:t>
          </a:r>
          <a:r>
            <a:rPr lang="en-US" sz="1000"/>
            <a:t>:</a:t>
          </a:r>
          <a:r>
            <a:rPr lang="en-US" sz="1000" baseline="0"/>
            <a:t> </a:t>
          </a:r>
          <a:r>
            <a:rPr lang="en-US" sz="1000"/>
            <a:t>Liability is limited to the repair, replacement, or refund of the goods under the terms of the warranty, which is applicable only up to the point of dispatch. The Seller shall not be liable for any indirect, consequential, or incidental damages.</a:t>
          </a:r>
        </a:p>
        <a:p>
          <a:br>
            <a:rPr lang="en-US" sz="1000" b="1"/>
          </a:br>
          <a:r>
            <a:rPr lang="en-US" sz="1000" b="1"/>
            <a:t>Standards Compliance</a:t>
          </a:r>
          <a:r>
            <a:rPr lang="en-US" sz="1000"/>
            <a:t>:</a:t>
          </a:r>
          <a:r>
            <a:rPr lang="en-US" sz="1000" baseline="0"/>
            <a:t> </a:t>
          </a:r>
          <a:r>
            <a:rPr lang="en-US" sz="1000"/>
            <a:t>Products can be made to meet ISI, IEC, CE, UL, and RoHS standards per the Buyer’s requirements. Compliance costs and adherence to destination country regulations are the responsibility of the Buyer.</a:t>
          </a:r>
        </a:p>
        <a:p>
          <a:br>
            <a:rPr lang="en-US" sz="1000" b="1"/>
          </a:br>
          <a:r>
            <a:rPr lang="en-US" sz="1000" b="1"/>
            <a:t>Intellectual Property</a:t>
          </a:r>
          <a:r>
            <a:rPr lang="en-US" sz="1000"/>
            <a:t>:</a:t>
          </a:r>
          <a:r>
            <a:rPr lang="en-US" sz="1000" baseline="0"/>
            <a:t> </a:t>
          </a:r>
          <a:r>
            <a:rPr lang="en-US" sz="1000"/>
            <a:t>The Seller retains all intellectual property rights, including but not limited to designs, trademarks, and copyrights. The Buyer may not reproduce, modify, or distribute the Seller's intellectual property without express consent.</a:t>
          </a:r>
        </a:p>
        <a:p>
          <a:br>
            <a:rPr lang="en-US" sz="1000" b="1"/>
          </a:br>
          <a:r>
            <a:rPr lang="en-US" sz="1000" b="1"/>
            <a:t>Insurance</a:t>
          </a:r>
          <a:r>
            <a:rPr lang="en-US" sz="1000"/>
            <a:t>:</a:t>
          </a:r>
          <a:r>
            <a:rPr lang="en-US" sz="1000" baseline="0"/>
            <a:t> </a:t>
          </a:r>
          <a:r>
            <a:rPr lang="en-US" sz="1000"/>
            <a:t>The Buyer is responsible for purchasing transit insurance. If the Seller arranges insurance, the cost will be invoiced to the Buyer.</a:t>
          </a:r>
        </a:p>
        <a:p>
          <a:br>
            <a:rPr lang="en-US" sz="1000" b="1"/>
          </a:br>
          <a:r>
            <a:rPr lang="en-US" sz="1000" b="1"/>
            <a:t>Confidentiality</a:t>
          </a:r>
          <a:r>
            <a:rPr lang="en-US" sz="1000"/>
            <a:t>:</a:t>
          </a:r>
          <a:r>
            <a:rPr lang="en-US" sz="1000" baseline="0"/>
            <a:t> </a:t>
          </a:r>
          <a:r>
            <a:rPr lang="en-US" sz="1000"/>
            <a:t>Both parties agree to keep all exchanged non-public information confidential, including pricing, technical details, and other sensitive data. Disclosure is only permitted if required by law.</a:t>
          </a:r>
        </a:p>
        <a:p>
          <a:br>
            <a:rPr lang="en-US" sz="1000" b="1"/>
          </a:br>
          <a:r>
            <a:rPr lang="en-US" sz="1000" b="1"/>
            <a:t>Indemnification</a:t>
          </a:r>
          <a:r>
            <a:rPr lang="en-US" sz="1000"/>
            <a:t>:</a:t>
          </a:r>
          <a:r>
            <a:rPr lang="en-US" sz="1000" baseline="0"/>
            <a:t> </a:t>
          </a:r>
          <a:r>
            <a:rPr lang="en-US" sz="1000"/>
            <a:t>The Buyer agrees to indemnify the Seller against any claims or losses arising from the misuse of the Products.</a:t>
          </a:r>
        </a:p>
        <a:p>
          <a:br>
            <a:rPr lang="en-US" sz="1000" b="1"/>
          </a:br>
          <a:r>
            <a:rPr lang="en-US" sz="1000" b="1"/>
            <a:t>Dispute Resolution</a:t>
          </a:r>
          <a:r>
            <a:rPr lang="en-US" sz="1000"/>
            <a:t>:</a:t>
          </a:r>
          <a:r>
            <a:rPr lang="en-US" sz="1000" baseline="0"/>
            <a:t> </a:t>
          </a:r>
          <a:r>
            <a:rPr lang="en-US" sz="1000"/>
            <a:t>This agreement is governed by Indian law. Mediation or arbitration is preferred to resolve disputes, with unresolved disputes being subject to the jurisdiction of the Coimbatore courts.</a:t>
          </a:r>
        </a:p>
        <a:p>
          <a:br>
            <a:rPr lang="en-US" sz="1000" b="1"/>
          </a:br>
          <a:r>
            <a:rPr lang="en-US" sz="1000" b="1"/>
            <a:t>Price Escalation</a:t>
          </a:r>
          <a:r>
            <a:rPr lang="en-US" sz="1000"/>
            <a:t>:</a:t>
          </a:r>
          <a:r>
            <a:rPr lang="en-US" sz="1000" baseline="0"/>
            <a:t> </a:t>
          </a:r>
          <a:r>
            <a:rPr lang="en-US" sz="1000"/>
            <a:t>If, during the course of fulfilling the contract, there is a significant increase in material costs (exceeding 2%) beyond our control, we reserve the right to equitably adjust the price to account for these unforeseen price fluctuations. Such adjustments will be supported by documented evidence, such as quotes, invoices, or receipts. Please note that we are not liable for any additional costs or damages resulting from delays caused by raw material shortages or unavailability.</a:t>
          </a:r>
        </a:p>
        <a:p>
          <a:br>
            <a:rPr lang="en-US" sz="1000" b="1"/>
          </a:br>
          <a:r>
            <a:rPr lang="en-US" sz="1000" b="1"/>
            <a:t>Provisional Pricing</a:t>
          </a:r>
          <a:r>
            <a:rPr lang="en-US" sz="1000"/>
            <a:t>:</a:t>
          </a:r>
          <a:r>
            <a:rPr lang="en-US" sz="1000" baseline="0"/>
            <a:t> </a:t>
          </a:r>
          <a:r>
            <a:rPr lang="en-US" sz="1000"/>
            <a:t>New products typically have provisional pricing, provided solely for informational purposes. These prices are subject to change based on actual procurement costs incurred during the pilot lot phase. They are intended to give a general understanding and may vary, either increasing or decreasing, depending on the final procurement figures.</a:t>
          </a:r>
        </a:p>
        <a:p>
          <a:br>
            <a:rPr lang="en-US" sz="1000" b="1"/>
          </a:br>
          <a:r>
            <a:rPr lang="en-US" sz="1000" b="1"/>
            <a:t>Miscellaneous</a:t>
          </a:r>
          <a:r>
            <a:rPr lang="en-US" sz="1000"/>
            <a:t>:</a:t>
          </a:r>
          <a:r>
            <a:rPr lang="en-US" sz="1000" baseline="0"/>
            <a:t> </a:t>
          </a:r>
          <a:r>
            <a:rPr lang="en-US" sz="1000"/>
            <a:t>This agreement supersedes any prior agreements. Amendments to this agreement must be made in writing. No waiver of any provisions will occur. Both parties are required to protect proprietary information.</a:t>
          </a:r>
        </a:p>
        <a:p>
          <a:br>
            <a:rPr lang="en-US" sz="1000" b="1"/>
          </a:br>
          <a:r>
            <a:rPr lang="en-US" sz="1000" b="1"/>
            <a:t>Acknowledgment</a:t>
          </a:r>
          <a:r>
            <a:rPr lang="en-US" sz="1000"/>
            <a:t>:</a:t>
          </a:r>
          <a:r>
            <a:rPr lang="en-US" sz="1000" baseline="0"/>
            <a:t> </a:t>
          </a:r>
          <a:r>
            <a:rPr lang="en-US" sz="1000"/>
            <a:t>By placing an order, the Buyer acknowledges and accepts the terms and is responsible for reviewing the most current version of these terms.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7991-EA9B-4D4B-9878-ABCF0E6D097D}">
  <sheetPr>
    <pageSetUpPr fitToPage="1"/>
  </sheetPr>
  <dimension ref="A1:L84"/>
  <sheetViews>
    <sheetView showGridLines="0" tabSelected="1" zoomScaleNormal="100" workbookViewId="0">
      <selection sqref="A1:C2"/>
    </sheetView>
  </sheetViews>
  <sheetFormatPr defaultColWidth="12" defaultRowHeight="15.75" x14ac:dyDescent="0.25"/>
  <cols>
    <col min="1" max="1" width="7.42578125" style="20" customWidth="1"/>
    <col min="2" max="2" width="14.140625" style="20" customWidth="1"/>
    <col min="3" max="8" width="13.42578125" style="20" customWidth="1"/>
    <col min="9" max="9" width="15.85546875" style="20" customWidth="1"/>
    <col min="10" max="10" width="13.42578125" style="20" customWidth="1"/>
    <col min="11" max="11" width="14.7109375" style="20" customWidth="1"/>
    <col min="12" max="12" width="18.85546875" style="20" customWidth="1"/>
    <col min="13" max="17" width="7.42578125" style="20" customWidth="1"/>
    <col min="18" max="16384" width="12" style="20"/>
  </cols>
  <sheetData>
    <row r="1" spans="1:12" x14ac:dyDescent="0.25">
      <c r="A1" s="68" t="s">
        <v>42</v>
      </c>
      <c r="B1" s="69"/>
      <c r="C1" s="69"/>
      <c r="D1" s="17"/>
      <c r="E1" s="17"/>
      <c r="F1" s="17"/>
      <c r="G1" s="18"/>
      <c r="H1" s="18"/>
      <c r="I1" s="18"/>
      <c r="J1" s="18"/>
      <c r="K1" s="18"/>
      <c r="L1" s="19"/>
    </row>
    <row r="2" spans="1:12" x14ac:dyDescent="0.25">
      <c r="A2" s="70"/>
      <c r="B2" s="71"/>
      <c r="C2" s="71"/>
      <c r="D2" s="21"/>
      <c r="E2" s="21"/>
      <c r="F2" s="21"/>
      <c r="L2" s="22"/>
    </row>
    <row r="3" spans="1:12" x14ac:dyDescent="0.25">
      <c r="A3" s="23"/>
      <c r="L3" s="22"/>
    </row>
    <row r="4" spans="1:12" ht="17.25" x14ac:dyDescent="0.25">
      <c r="A4" s="24" t="s">
        <v>43</v>
      </c>
      <c r="B4" s="72" t="s">
        <v>44</v>
      </c>
      <c r="C4" s="73"/>
      <c r="L4" s="22"/>
    </row>
    <row r="5" spans="1:12" s="29" customFormat="1" ht="12.75" x14ac:dyDescent="0.25">
      <c r="A5" s="27"/>
      <c r="B5" s="28"/>
      <c r="C5" s="26"/>
      <c r="L5" s="30"/>
    </row>
    <row r="6" spans="1:12" x14ac:dyDescent="0.25">
      <c r="A6" s="27" t="s">
        <v>45</v>
      </c>
      <c r="B6" s="31" t="s">
        <v>46</v>
      </c>
      <c r="C6" s="74" t="s">
        <v>47</v>
      </c>
      <c r="D6" s="74"/>
      <c r="E6" s="74"/>
      <c r="F6" s="74"/>
      <c r="G6" s="74"/>
      <c r="L6" s="22"/>
    </row>
    <row r="7" spans="1:12" x14ac:dyDescent="0.25">
      <c r="A7" s="27" t="s">
        <v>48</v>
      </c>
      <c r="B7" s="31" t="s">
        <v>49</v>
      </c>
      <c r="C7" s="59" t="s">
        <v>50</v>
      </c>
      <c r="D7" s="59"/>
      <c r="E7" s="59"/>
      <c r="F7" s="59"/>
      <c r="G7" s="59"/>
      <c r="L7" s="22"/>
    </row>
    <row r="8" spans="1:12" x14ac:dyDescent="0.25">
      <c r="A8" s="27" t="s">
        <v>51</v>
      </c>
      <c r="B8" s="31" t="s">
        <v>52</v>
      </c>
      <c r="C8" s="75">
        <v>46114</v>
      </c>
      <c r="D8" s="75"/>
      <c r="E8" s="75"/>
      <c r="F8" s="75"/>
      <c r="G8" s="75"/>
      <c r="L8" s="22"/>
    </row>
    <row r="9" spans="1:12" x14ac:dyDescent="0.25">
      <c r="A9" s="27" t="s">
        <v>53</v>
      </c>
      <c r="B9" s="31" t="s">
        <v>54</v>
      </c>
      <c r="C9" s="59" t="s">
        <v>55</v>
      </c>
      <c r="D9" s="59"/>
      <c r="E9" s="59"/>
      <c r="F9" s="59"/>
      <c r="G9" s="59"/>
      <c r="L9" s="22"/>
    </row>
    <row r="10" spans="1:12" x14ac:dyDescent="0.25">
      <c r="A10" s="23"/>
      <c r="C10" s="32"/>
      <c r="D10" s="32"/>
      <c r="E10" s="32"/>
      <c r="F10" s="32"/>
      <c r="L10" s="22"/>
    </row>
    <row r="11" spans="1:12" ht="17.25" x14ac:dyDescent="0.25">
      <c r="A11" s="24" t="s">
        <v>56</v>
      </c>
      <c r="B11" s="25" t="s">
        <v>57</v>
      </c>
      <c r="L11" s="22"/>
    </row>
    <row r="12" spans="1:12" s="29" customFormat="1" ht="12.75" x14ac:dyDescent="0.25">
      <c r="A12" s="27"/>
      <c r="B12" s="28"/>
      <c r="E12" s="33"/>
      <c r="L12" s="30"/>
    </row>
    <row r="13" spans="1:12" ht="17.25" x14ac:dyDescent="0.25">
      <c r="A13" s="24"/>
      <c r="B13" s="25" t="s">
        <v>29</v>
      </c>
      <c r="E13" s="34"/>
      <c r="L13" s="22"/>
    </row>
    <row r="14" spans="1:12" x14ac:dyDescent="0.25">
      <c r="A14" s="23"/>
      <c r="B14" s="61" t="s">
        <v>58</v>
      </c>
      <c r="C14" s="61" t="s">
        <v>59</v>
      </c>
      <c r="D14" s="61"/>
      <c r="E14" s="61"/>
      <c r="F14" s="61"/>
      <c r="G14" s="63" t="s">
        <v>60</v>
      </c>
      <c r="H14" s="63"/>
      <c r="I14" s="64" t="s">
        <v>61</v>
      </c>
      <c r="J14" s="66" t="s">
        <v>62</v>
      </c>
      <c r="L14" s="22"/>
    </row>
    <row r="15" spans="1:12" ht="15.75" customHeight="1" x14ac:dyDescent="0.25">
      <c r="A15" s="23"/>
      <c r="B15" s="62"/>
      <c r="C15" s="61"/>
      <c r="D15" s="61"/>
      <c r="E15" s="61"/>
      <c r="F15" s="61"/>
      <c r="G15" s="63"/>
      <c r="H15" s="63"/>
      <c r="I15" s="65"/>
      <c r="J15" s="67"/>
      <c r="L15" s="22"/>
    </row>
    <row r="16" spans="1:12" x14ac:dyDescent="0.25">
      <c r="A16" s="23"/>
      <c r="B16" s="35" t="s">
        <v>20</v>
      </c>
      <c r="C16" s="59" t="s">
        <v>21</v>
      </c>
      <c r="D16" s="59"/>
      <c r="E16" s="59"/>
      <c r="F16" s="59"/>
      <c r="G16" s="60"/>
      <c r="H16" s="60"/>
      <c r="I16" s="36"/>
      <c r="J16" s="37">
        <v>1210</v>
      </c>
      <c r="L16" s="22"/>
    </row>
    <row r="17" spans="1:12" x14ac:dyDescent="0.25">
      <c r="A17" s="23"/>
      <c r="B17" s="35"/>
      <c r="C17" s="59"/>
      <c r="D17" s="59"/>
      <c r="E17" s="59"/>
      <c r="F17" s="59"/>
      <c r="G17" s="60"/>
      <c r="H17" s="60"/>
      <c r="I17" s="36"/>
      <c r="J17" s="38"/>
      <c r="L17" s="22"/>
    </row>
    <row r="18" spans="1:12" x14ac:dyDescent="0.25">
      <c r="A18" s="23"/>
      <c r="B18" s="35"/>
      <c r="C18" s="57"/>
      <c r="D18" s="57"/>
      <c r="E18" s="57"/>
      <c r="F18" s="57"/>
      <c r="G18" s="60"/>
      <c r="H18" s="60"/>
      <c r="I18" s="36"/>
      <c r="J18" s="38"/>
      <c r="L18" s="22"/>
    </row>
    <row r="19" spans="1:12" x14ac:dyDescent="0.25">
      <c r="A19" s="23"/>
      <c r="B19" s="35"/>
      <c r="C19" s="57"/>
      <c r="D19" s="57"/>
      <c r="E19" s="57"/>
      <c r="F19" s="57"/>
      <c r="G19" s="60"/>
      <c r="H19" s="60"/>
      <c r="I19" s="36"/>
      <c r="J19" s="38"/>
      <c r="L19" s="22"/>
    </row>
    <row r="20" spans="1:12" x14ac:dyDescent="0.25">
      <c r="A20" s="23"/>
      <c r="B20" s="35"/>
      <c r="C20" s="57"/>
      <c r="D20" s="57"/>
      <c r="E20" s="57"/>
      <c r="F20" s="57"/>
      <c r="G20" s="57"/>
      <c r="H20" s="57"/>
      <c r="I20" s="36"/>
      <c r="J20" s="38"/>
      <c r="L20" s="22"/>
    </row>
    <row r="21" spans="1:12" x14ac:dyDescent="0.25">
      <c r="A21" s="23"/>
      <c r="C21" s="58"/>
      <c r="D21" s="58"/>
      <c r="E21" s="58"/>
      <c r="F21" s="58"/>
      <c r="G21" s="58"/>
      <c r="H21" s="58"/>
      <c r="I21" s="32"/>
      <c r="J21" s="39"/>
      <c r="L21" s="22"/>
    </row>
    <row r="22" spans="1:12" x14ac:dyDescent="0.25">
      <c r="A22" s="23"/>
      <c r="L22" s="22"/>
    </row>
    <row r="23" spans="1:12" ht="17.25" x14ac:dyDescent="0.25">
      <c r="A23" s="40" t="s">
        <v>56</v>
      </c>
      <c r="B23" s="41" t="s">
        <v>63</v>
      </c>
      <c r="L23" s="30"/>
    </row>
    <row r="24" spans="1:12" s="29" customFormat="1" x14ac:dyDescent="0.25">
      <c r="A24" s="42"/>
      <c r="L24" s="22"/>
    </row>
    <row r="25" spans="1:12" ht="15.95" customHeight="1" x14ac:dyDescent="0.25">
      <c r="A25" s="43" t="s">
        <v>64</v>
      </c>
      <c r="B25" s="31" t="s">
        <v>65</v>
      </c>
      <c r="C25" s="56" t="s">
        <v>66</v>
      </c>
      <c r="D25" s="56"/>
      <c r="E25" s="56"/>
      <c r="F25" s="56"/>
      <c r="G25" s="56"/>
      <c r="H25" s="56"/>
      <c r="I25" s="56"/>
      <c r="L25" s="22"/>
    </row>
    <row r="26" spans="1:12" ht="15.95" customHeight="1" x14ac:dyDescent="0.25">
      <c r="A26" s="43" t="s">
        <v>67</v>
      </c>
      <c r="B26" s="31" t="s">
        <v>68</v>
      </c>
      <c r="C26" s="56" t="s">
        <v>69</v>
      </c>
      <c r="D26" s="56"/>
      <c r="E26" s="56"/>
      <c r="F26" s="56"/>
      <c r="G26" s="56"/>
      <c r="H26" s="56"/>
      <c r="I26" s="56"/>
      <c r="L26" s="44"/>
    </row>
    <row r="27" spans="1:12" s="47" customFormat="1" x14ac:dyDescent="0.25">
      <c r="A27" s="45" t="s">
        <v>70</v>
      </c>
      <c r="B27" s="46" t="s">
        <v>71</v>
      </c>
      <c r="C27" s="56" t="s">
        <v>72</v>
      </c>
      <c r="D27" s="56"/>
      <c r="E27" s="56"/>
      <c r="F27" s="56"/>
      <c r="G27" s="56"/>
      <c r="H27" s="56"/>
      <c r="I27" s="56"/>
      <c r="L27" s="22"/>
    </row>
    <row r="28" spans="1:12" ht="32.1" customHeight="1" x14ac:dyDescent="0.25">
      <c r="A28" s="43" t="s">
        <v>73</v>
      </c>
      <c r="B28" s="46" t="s">
        <v>74</v>
      </c>
      <c r="C28" s="56" t="s">
        <v>75</v>
      </c>
      <c r="D28" s="56"/>
      <c r="E28" s="56"/>
      <c r="F28" s="56"/>
      <c r="G28" s="56"/>
      <c r="H28" s="56"/>
      <c r="I28" s="56"/>
      <c r="L28" s="22"/>
    </row>
    <row r="29" spans="1:12" ht="120" customHeight="1" x14ac:dyDescent="0.25">
      <c r="A29" s="43" t="s">
        <v>76</v>
      </c>
      <c r="B29" s="46" t="s">
        <v>77</v>
      </c>
      <c r="C29" s="56" t="s">
        <v>78</v>
      </c>
      <c r="D29" s="56"/>
      <c r="E29" s="56"/>
      <c r="F29" s="56"/>
      <c r="G29" s="56"/>
      <c r="H29" s="56"/>
      <c r="I29" s="56"/>
      <c r="L29" s="22"/>
    </row>
    <row r="30" spans="1:12" x14ac:dyDescent="0.25">
      <c r="A30" s="23"/>
      <c r="L30" s="22"/>
    </row>
    <row r="31" spans="1:12" ht="17.25" x14ac:dyDescent="0.25">
      <c r="A31" s="24" t="s">
        <v>79</v>
      </c>
      <c r="B31" s="41" t="s">
        <v>80</v>
      </c>
      <c r="L31" s="30"/>
    </row>
    <row r="32" spans="1:12" s="29" customFormat="1" x14ac:dyDescent="0.25">
      <c r="A32" s="27"/>
      <c r="B32" s="31"/>
      <c r="L32" s="22"/>
    </row>
    <row r="33" spans="1:12" x14ac:dyDescent="0.25">
      <c r="A33" s="23"/>
      <c r="L33" s="22"/>
    </row>
    <row r="34" spans="1:12" x14ac:dyDescent="0.25">
      <c r="A34" s="23"/>
      <c r="L34" s="22"/>
    </row>
    <row r="35" spans="1:12" x14ac:dyDescent="0.25">
      <c r="A35" s="23"/>
      <c r="L35" s="22"/>
    </row>
    <row r="36" spans="1:12" x14ac:dyDescent="0.25">
      <c r="A36" s="23"/>
      <c r="L36" s="22"/>
    </row>
    <row r="37" spans="1:12" x14ac:dyDescent="0.25">
      <c r="A37" s="23"/>
      <c r="L37" s="22"/>
    </row>
    <row r="38" spans="1:12" x14ac:dyDescent="0.25">
      <c r="A38" s="23"/>
      <c r="L38" s="22"/>
    </row>
    <row r="39" spans="1:12" x14ac:dyDescent="0.25">
      <c r="A39" s="23"/>
      <c r="L39" s="22"/>
    </row>
    <row r="40" spans="1:12" x14ac:dyDescent="0.25">
      <c r="A40" s="23"/>
      <c r="L40" s="22"/>
    </row>
    <row r="41" spans="1:12" x14ac:dyDescent="0.25">
      <c r="A41" s="23"/>
      <c r="L41" s="22"/>
    </row>
    <row r="42" spans="1:12" x14ac:dyDescent="0.25">
      <c r="A42" s="23"/>
      <c r="L42" s="22"/>
    </row>
    <row r="43" spans="1:12" x14ac:dyDescent="0.25">
      <c r="A43" s="23"/>
      <c r="L43" s="22"/>
    </row>
    <row r="44" spans="1:12" x14ac:dyDescent="0.25">
      <c r="A44" s="23"/>
      <c r="L44" s="22"/>
    </row>
    <row r="45" spans="1:12" x14ac:dyDescent="0.25">
      <c r="A45" s="23"/>
      <c r="L45" s="22"/>
    </row>
    <row r="46" spans="1:12" x14ac:dyDescent="0.25">
      <c r="A46" s="23"/>
      <c r="L46" s="22"/>
    </row>
    <row r="47" spans="1:12" x14ac:dyDescent="0.25">
      <c r="A47" s="23"/>
      <c r="L47" s="22"/>
    </row>
    <row r="48" spans="1:12" x14ac:dyDescent="0.25">
      <c r="A48" s="23"/>
      <c r="L48" s="22"/>
    </row>
    <row r="49" spans="1:12" x14ac:dyDescent="0.25">
      <c r="A49" s="23"/>
      <c r="L49" s="22"/>
    </row>
    <row r="50" spans="1:12" x14ac:dyDescent="0.25">
      <c r="A50" s="23"/>
      <c r="L50" s="22"/>
    </row>
    <row r="51" spans="1:12" x14ac:dyDescent="0.25">
      <c r="A51" s="23"/>
      <c r="L51" s="22"/>
    </row>
    <row r="52" spans="1:12" x14ac:dyDescent="0.25">
      <c r="A52" s="23"/>
      <c r="L52" s="22"/>
    </row>
    <row r="53" spans="1:12" x14ac:dyDescent="0.25">
      <c r="A53" s="23"/>
      <c r="L53" s="22"/>
    </row>
    <row r="54" spans="1:12" x14ac:dyDescent="0.25">
      <c r="A54" s="23"/>
      <c r="L54" s="22"/>
    </row>
    <row r="55" spans="1:12" x14ac:dyDescent="0.25">
      <c r="A55" s="23"/>
      <c r="L55" s="22"/>
    </row>
    <row r="56" spans="1:12" x14ac:dyDescent="0.25">
      <c r="A56" s="23"/>
      <c r="L56" s="22"/>
    </row>
    <row r="57" spans="1:12" x14ac:dyDescent="0.25">
      <c r="A57" s="23"/>
      <c r="L57" s="22"/>
    </row>
    <row r="58" spans="1:12" x14ac:dyDescent="0.25">
      <c r="A58" s="23"/>
      <c r="L58" s="22"/>
    </row>
    <row r="59" spans="1:12" x14ac:dyDescent="0.25">
      <c r="A59" s="23"/>
      <c r="L59" s="22"/>
    </row>
    <row r="60" spans="1:12" x14ac:dyDescent="0.25">
      <c r="A60" s="23"/>
      <c r="L60" s="22"/>
    </row>
    <row r="61" spans="1:12" x14ac:dyDescent="0.25">
      <c r="A61" s="23"/>
      <c r="L61" s="22"/>
    </row>
    <row r="62" spans="1:12" x14ac:dyDescent="0.25">
      <c r="A62" s="23"/>
      <c r="L62" s="22"/>
    </row>
    <row r="63" spans="1:12" x14ac:dyDescent="0.25">
      <c r="A63" s="23"/>
      <c r="L63" s="22"/>
    </row>
    <row r="64" spans="1:12" x14ac:dyDescent="0.25">
      <c r="A64" s="23"/>
      <c r="L64" s="22"/>
    </row>
    <row r="65" spans="1:12" x14ac:dyDescent="0.25">
      <c r="A65" s="23"/>
      <c r="L65" s="22"/>
    </row>
    <row r="66" spans="1:12" x14ac:dyDescent="0.25">
      <c r="A66" s="23"/>
      <c r="L66" s="22"/>
    </row>
    <row r="67" spans="1:12" x14ac:dyDescent="0.25">
      <c r="A67" s="23"/>
      <c r="L67" s="22"/>
    </row>
    <row r="68" spans="1:12" x14ac:dyDescent="0.25">
      <c r="A68" s="23"/>
      <c r="L68" s="22"/>
    </row>
    <row r="69" spans="1:12" x14ac:dyDescent="0.25">
      <c r="A69" s="23"/>
      <c r="L69" s="22"/>
    </row>
    <row r="70" spans="1:12" x14ac:dyDescent="0.25">
      <c r="A70" s="23"/>
      <c r="L70" s="22"/>
    </row>
    <row r="71" spans="1:12" x14ac:dyDescent="0.25">
      <c r="A71" s="23"/>
      <c r="L71" s="22"/>
    </row>
    <row r="72" spans="1:12" x14ac:dyDescent="0.25">
      <c r="A72" s="23"/>
      <c r="L72" s="22"/>
    </row>
    <row r="73" spans="1:12" x14ac:dyDescent="0.25">
      <c r="A73" s="23"/>
      <c r="L73" s="22"/>
    </row>
    <row r="74" spans="1:12" x14ac:dyDescent="0.25">
      <c r="A74" s="23"/>
      <c r="L74" s="22"/>
    </row>
    <row r="75" spans="1:12" x14ac:dyDescent="0.25">
      <c r="A75" s="23"/>
      <c r="L75" s="22"/>
    </row>
    <row r="76" spans="1:12" x14ac:dyDescent="0.25">
      <c r="A76" s="23"/>
      <c r="L76" s="22"/>
    </row>
    <row r="77" spans="1:12" x14ac:dyDescent="0.25">
      <c r="A77" s="23"/>
      <c r="L77" s="22"/>
    </row>
    <row r="78" spans="1:12" x14ac:dyDescent="0.25">
      <c r="A78" s="23"/>
      <c r="L78" s="22"/>
    </row>
    <row r="79" spans="1:12" x14ac:dyDescent="0.25">
      <c r="A79" s="23"/>
      <c r="L79" s="22"/>
    </row>
    <row r="80" spans="1:12" x14ac:dyDescent="0.25">
      <c r="A80" s="23"/>
      <c r="L80" s="22"/>
    </row>
    <row r="81" spans="1:12" x14ac:dyDescent="0.25">
      <c r="A81" s="23"/>
      <c r="L81" s="22"/>
    </row>
    <row r="82" spans="1:12" x14ac:dyDescent="0.25">
      <c r="A82" s="23"/>
      <c r="L82" s="22"/>
    </row>
    <row r="83" spans="1:12" x14ac:dyDescent="0.25">
      <c r="A83" s="23"/>
      <c r="L83" s="22"/>
    </row>
    <row r="84" spans="1:12" ht="16.5" thickBot="1" x14ac:dyDescent="0.3">
      <c r="A84" s="48"/>
      <c r="B84" s="49"/>
      <c r="C84" s="49"/>
      <c r="D84" s="49"/>
      <c r="E84" s="49"/>
      <c r="F84" s="49"/>
      <c r="G84" s="49"/>
      <c r="H84" s="49"/>
      <c r="I84" s="49"/>
      <c r="J84" s="49"/>
      <c r="K84" s="49"/>
      <c r="L84" s="50"/>
    </row>
  </sheetData>
  <mergeCells count="28">
    <mergeCell ref="C16:F16"/>
    <mergeCell ref="G16:H16"/>
    <mergeCell ref="A1:C2"/>
    <mergeCell ref="B4:C4"/>
    <mergeCell ref="C6:G6"/>
    <mergeCell ref="C7:G7"/>
    <mergeCell ref="C8:G8"/>
    <mergeCell ref="C9:G9"/>
    <mergeCell ref="B14:B15"/>
    <mergeCell ref="C14:F15"/>
    <mergeCell ref="G14:H15"/>
    <mergeCell ref="I14:I15"/>
    <mergeCell ref="J14:J15"/>
    <mergeCell ref="C17:F17"/>
    <mergeCell ref="G17:H17"/>
    <mergeCell ref="C18:F18"/>
    <mergeCell ref="G18:H18"/>
    <mergeCell ref="C19:F19"/>
    <mergeCell ref="G19:H19"/>
    <mergeCell ref="C27:I27"/>
    <mergeCell ref="C28:I28"/>
    <mergeCell ref="C29:I29"/>
    <mergeCell ref="C20:F20"/>
    <mergeCell ref="G20:H20"/>
    <mergeCell ref="C21:F21"/>
    <mergeCell ref="G21:H21"/>
    <mergeCell ref="C25:I25"/>
    <mergeCell ref="C26:I26"/>
  </mergeCells>
  <pageMargins left="0.7" right="0.7" top="0.75" bottom="0.75" header="0.3" footer="0.3"/>
  <pageSetup paperSize="9" scale="55" fitToHeight="2"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2DCD-6706-4D22-BEBB-29EE4AC022AF}">
  <dimension ref="A1:P4"/>
  <sheetViews>
    <sheetView zoomScaleNormal="100" workbookViewId="0">
      <pane xSplit="3" ySplit="3" topLeftCell="D4" activePane="bottomRight" state="frozen"/>
      <selection activeCell="K1" sqref="K1"/>
      <selection pane="topRight" activeCell="K1" sqref="K1"/>
      <selection pane="bottomLeft" activeCell="K1" sqref="K1"/>
      <selection pane="bottomRight"/>
    </sheetView>
  </sheetViews>
  <sheetFormatPr defaultColWidth="12.85546875" defaultRowHeight="15.75" x14ac:dyDescent="0.25"/>
  <cols>
    <col min="1" max="1" width="12.85546875" style="4"/>
    <col min="2" max="2" width="10.140625" style="4" hidden="1" customWidth="1"/>
    <col min="3" max="3" width="31.7109375" style="4" customWidth="1"/>
    <col min="4" max="4" width="8.85546875" style="4" customWidth="1"/>
    <col min="5" max="5" width="13.28515625" style="4" customWidth="1"/>
    <col min="6" max="6" width="11.7109375" style="4" customWidth="1"/>
    <col min="7" max="7" width="11.140625" style="5" customWidth="1"/>
    <col min="8" max="8" width="10" style="4" customWidth="1"/>
    <col min="9" max="9" width="11.7109375" style="4" customWidth="1"/>
    <col min="10" max="10" width="11.85546875" style="4" customWidth="1"/>
    <col min="11" max="11" width="12.28515625" style="4" customWidth="1"/>
    <col min="12" max="12" width="11.7109375" style="4" customWidth="1"/>
    <col min="13" max="13" width="12.42578125" style="4" customWidth="1"/>
    <col min="14" max="14" width="10" style="4" customWidth="1"/>
    <col min="15" max="15" width="9.7109375" style="4" customWidth="1"/>
    <col min="16" max="16" width="11" style="4" customWidth="1"/>
    <col min="17" max="16384" width="12.85546875" style="4"/>
  </cols>
  <sheetData>
    <row r="1" spans="1:16" s="1" customFormat="1" ht="63" x14ac:dyDescent="0.25">
      <c r="A1" s="1" t="s">
        <v>0</v>
      </c>
      <c r="G1" s="2"/>
      <c r="J1" s="3" t="s">
        <v>1</v>
      </c>
      <c r="K1" s="3" t="s">
        <v>2</v>
      </c>
      <c r="L1" s="3" t="s">
        <v>3</v>
      </c>
    </row>
    <row r="2" spans="1:16" x14ac:dyDescent="0.25">
      <c r="H2" s="6">
        <v>0.05</v>
      </c>
      <c r="I2" s="7"/>
      <c r="J2" s="6">
        <f>VLOOKUP(J1,LookupData!C:E,3,0)</f>
        <v>0</v>
      </c>
      <c r="K2" s="6">
        <f>VLOOKUP(K1,LookupData!G:I,3,0)</f>
        <v>4.8999999999999998E-3</v>
      </c>
      <c r="L2" s="6">
        <f>VLOOKUP(L1,LookupData!K:L,2,0)</f>
        <v>2.5000000000000001E-2</v>
      </c>
      <c r="N2" s="6">
        <v>0.05</v>
      </c>
      <c r="O2" s="6">
        <v>0.1</v>
      </c>
    </row>
    <row r="3" spans="1:16" s="55" customFormat="1" ht="31.5" x14ac:dyDescent="0.25">
      <c r="A3" s="51" t="s">
        <v>4</v>
      </c>
      <c r="B3" s="51" t="s">
        <v>5</v>
      </c>
      <c r="C3" s="52" t="s">
        <v>6</v>
      </c>
      <c r="D3" s="52" t="s">
        <v>7</v>
      </c>
      <c r="E3" s="53" t="s">
        <v>8</v>
      </c>
      <c r="F3" s="52" t="s">
        <v>9</v>
      </c>
      <c r="G3" s="54" t="s">
        <v>10</v>
      </c>
      <c r="H3" s="52" t="s">
        <v>11</v>
      </c>
      <c r="I3" s="53" t="s">
        <v>12</v>
      </c>
      <c r="J3" s="52" t="s">
        <v>13</v>
      </c>
      <c r="K3" s="52" t="s">
        <v>14</v>
      </c>
      <c r="L3" s="52" t="s">
        <v>15</v>
      </c>
      <c r="M3" s="53" t="s">
        <v>16</v>
      </c>
      <c r="N3" s="52" t="s">
        <v>17</v>
      </c>
      <c r="O3" s="52" t="s">
        <v>18</v>
      </c>
      <c r="P3" s="52" t="s">
        <v>19</v>
      </c>
    </row>
    <row r="4" spans="1:16" x14ac:dyDescent="0.25">
      <c r="A4" s="4" t="s">
        <v>20</v>
      </c>
      <c r="B4" s="4">
        <v>1</v>
      </c>
      <c r="C4" s="4" t="s">
        <v>21</v>
      </c>
      <c r="D4" s="8">
        <v>935.72312413622751</v>
      </c>
      <c r="E4" s="8">
        <f>SUM(D4:D4)</f>
        <v>935.72312413622751</v>
      </c>
      <c r="F4" s="8">
        <f>$E4*1%</f>
        <v>9.3572312413622747</v>
      </c>
      <c r="G4" s="5">
        <v>0</v>
      </c>
      <c r="H4" s="8">
        <f>$E4*H$2</f>
        <v>46.786156206811377</v>
      </c>
      <c r="I4" s="8">
        <f>SUM(E4:H4)</f>
        <v>991.86651158440111</v>
      </c>
      <c r="J4" s="8">
        <f ca="1">$P4*J$2</f>
        <v>0</v>
      </c>
      <c r="K4" s="8">
        <f ca="1">$P4*K$2</f>
        <v>5.9289999999999994</v>
      </c>
      <c r="L4" s="8">
        <f ca="1">$P4*L$2</f>
        <v>30.25</v>
      </c>
      <c r="M4" s="8">
        <f ca="1">SUM(I4:L4)</f>
        <v>1028.0455115844011</v>
      </c>
      <c r="N4" s="8">
        <f ca="1">$P4*N$2</f>
        <v>60.5</v>
      </c>
      <c r="O4" s="8">
        <f ca="1">$P4*O$2</f>
        <v>121</v>
      </c>
      <c r="P4" s="8">
        <f ca="1">CEILING(SUM(M4:O4),1)</f>
        <v>1210</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72B3F81-91EA-4D6B-8C52-59A587CB7193}">
          <x14:formula1>
            <xm:f>LookupData!$K$2:$K$5</xm:f>
          </x14:formula1>
          <xm:sqref>L1</xm:sqref>
        </x14:dataValidation>
        <x14:dataValidation type="list" allowBlank="1" showInputMessage="1" showErrorMessage="1" xr:uid="{475A9823-6E2F-4E21-A2B3-73F0C95C6F27}">
          <x14:formula1>
            <xm:f>LookupData!$G$2:$G$7</xm:f>
          </x14:formula1>
          <xm:sqref>K1</xm:sqref>
        </x14:dataValidation>
        <x14:dataValidation type="list" allowBlank="1" showInputMessage="1" showErrorMessage="1" xr:uid="{BAB4AE63-2E7A-422F-9CC2-7F85100C4702}">
          <x14:formula1>
            <xm:f>LookupData!$C$2:$C$5</xm:f>
          </x14:formula1>
          <xm:sqref>J1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4988-64CF-4EEE-A7BA-3B07E0BE54FC}">
  <dimension ref="A1:N6"/>
  <sheetViews>
    <sheetView zoomScaleNormal="100" workbookViewId="0">
      <selection activeCell="K1" sqref="K1"/>
    </sheetView>
  </sheetViews>
  <sheetFormatPr defaultColWidth="12.85546875" defaultRowHeight="15.75" x14ac:dyDescent="0.25"/>
  <cols>
    <col min="1" max="1" width="12.85546875" style="14"/>
    <col min="2" max="4" width="12.85546875" style="15"/>
    <col min="5" max="5" width="12.85546875" style="16"/>
    <col min="6" max="6" width="12.85546875" style="14"/>
    <col min="7" max="8" width="12.85546875" style="15"/>
    <col min="9" max="9" width="12.85546875" style="16"/>
    <col min="10" max="11" width="12.85546875" style="15"/>
    <col min="12" max="12" width="12.85546875" style="16"/>
    <col min="13" max="14" width="12.85546875" style="14"/>
    <col min="15" max="16384" width="12.85546875" style="15"/>
  </cols>
  <sheetData>
    <row r="1" spans="1:13" s="10" customFormat="1" ht="47.25" x14ac:dyDescent="0.25">
      <c r="A1" s="9" t="s">
        <v>22</v>
      </c>
      <c r="C1" s="11" t="s">
        <v>23</v>
      </c>
      <c r="D1" s="11" t="s">
        <v>24</v>
      </c>
      <c r="E1" s="12" t="s">
        <v>25</v>
      </c>
      <c r="F1" s="13"/>
      <c r="G1" s="11" t="s">
        <v>26</v>
      </c>
      <c r="H1" s="11" t="s">
        <v>27</v>
      </c>
      <c r="I1" s="12" t="s">
        <v>25</v>
      </c>
      <c r="K1" s="11" t="s">
        <v>28</v>
      </c>
      <c r="L1" s="12" t="s">
        <v>25</v>
      </c>
      <c r="M1" s="13"/>
    </row>
    <row r="2" spans="1:13" x14ac:dyDescent="0.25">
      <c r="A2" s="14" t="s">
        <v>29</v>
      </c>
      <c r="C2" s="15" t="s">
        <v>1</v>
      </c>
      <c r="D2" s="15">
        <v>0</v>
      </c>
      <c r="E2" s="16">
        <f>1%/12*D2</f>
        <v>0</v>
      </c>
      <c r="G2" s="15" t="s">
        <v>30</v>
      </c>
      <c r="H2" s="15">
        <v>0</v>
      </c>
      <c r="I2" s="16">
        <f>ROUND(12%/365*H2,4)</f>
        <v>0</v>
      </c>
      <c r="K2" s="15" t="s">
        <v>31</v>
      </c>
      <c r="L2" s="16">
        <v>0</v>
      </c>
    </row>
    <row r="3" spans="1:13" x14ac:dyDescent="0.25">
      <c r="A3" s="14" t="s">
        <v>32</v>
      </c>
      <c r="C3" s="15" t="s">
        <v>33</v>
      </c>
      <c r="D3" s="15">
        <v>12</v>
      </c>
      <c r="E3" s="16">
        <f>1%/12*D3</f>
        <v>0.01</v>
      </c>
      <c r="G3" s="15" t="s">
        <v>34</v>
      </c>
      <c r="H3" s="15">
        <v>7</v>
      </c>
      <c r="I3" s="16">
        <f>ROUND(12%/365*H3,4)</f>
        <v>2.3E-3</v>
      </c>
      <c r="K3" s="15" t="s">
        <v>3</v>
      </c>
      <c r="L3" s="16">
        <v>2.5000000000000001E-2</v>
      </c>
    </row>
    <row r="4" spans="1:13" x14ac:dyDescent="0.25">
      <c r="A4" s="14" t="s">
        <v>35</v>
      </c>
      <c r="C4" s="15" t="s">
        <v>36</v>
      </c>
      <c r="D4" s="15">
        <v>18</v>
      </c>
      <c r="E4" s="16">
        <f>1%/12*D4</f>
        <v>1.5000000000000001E-2</v>
      </c>
      <c r="G4" s="15" t="s">
        <v>2</v>
      </c>
      <c r="H4" s="15">
        <v>15</v>
      </c>
      <c r="I4" s="16">
        <f>ROUND(12%/365*H4,4)</f>
        <v>4.8999999999999998E-3</v>
      </c>
      <c r="K4" s="15" t="s">
        <v>37</v>
      </c>
      <c r="L4" s="16">
        <v>3.1E-2</v>
      </c>
    </row>
    <row r="5" spans="1:13" x14ac:dyDescent="0.25">
      <c r="A5" s="14" t="s">
        <v>38</v>
      </c>
      <c r="G5" s="15" t="s">
        <v>39</v>
      </c>
      <c r="H5" s="15">
        <v>30</v>
      </c>
      <c r="I5" s="16">
        <f>ROUND(12%/365*H5,4)</f>
        <v>9.9000000000000008E-3</v>
      </c>
    </row>
    <row r="6" spans="1:13" x14ac:dyDescent="0.25">
      <c r="A6" s="14" t="s">
        <v>40</v>
      </c>
      <c r="G6" s="15" t="s">
        <v>41</v>
      </c>
      <c r="H6" s="15">
        <v>45</v>
      </c>
      <c r="I6" s="16">
        <f>ROUND(12%/365*H6,4)</f>
        <v>1.4800000000000001E-2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Quotation</vt:lpstr>
      <vt:lpstr>ProductCosting</vt:lpstr>
      <vt:lpstr>LookupData</vt:lpstr>
      <vt:lpstr>Quotation!Print_Area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Costing</dc:creator>
  <cp:lastModifiedBy>Costing</cp:lastModifiedBy>
  <dcterms:created xsi:type="dcterms:W3CDTF">2026-03-20T10:49:37Z</dcterms:created>
  <dcterms:modified xsi:type="dcterms:W3CDTF">2026-04-02T11:18:51Z</dcterms:modified>
</cp:coreProperties>
</file>